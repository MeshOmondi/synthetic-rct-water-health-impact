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wwda-my.sharepoint.com/personal/motieno_awwda_go_ke/Documents/Desktop/Impact Evaluation Course/Evaluation course/"/>
    </mc:Choice>
  </mc:AlternateContent>
  <xr:revisionPtr revIDLastSave="5" documentId="14_{FEF367B7-3598-45EE-B990-CF62D6DAB0FB}" xr6:coauthVersionLast="47" xr6:coauthVersionMax="47" xr10:uidLastSave="{C4798F71-1459-4AF9-9755-111010B0A18F}"/>
  <bookViews>
    <workbookView xWindow="-108" yWindow="-108" windowWidth="23256" windowHeight="12456" firstSheet="3" activeTab="6" xr2:uid="{00000000-000D-0000-FFFF-FFFF00000000}"/>
  </bookViews>
  <sheets>
    <sheet name="HISP" sheetId="1" r:id="rId1"/>
    <sheet name="KRWSIP_Program_Baseline Data" sheetId="2" r:id="rId2"/>
    <sheet name="Baseline_Characteristics_t-test" sheetId="3" r:id="rId3"/>
    <sheet name="Endline_Data_charecteristics" sheetId="8" r:id="rId4"/>
    <sheet name="KRWSIP_Program_Endline_Data" sheetId="6" r:id="rId5"/>
    <sheet name="Graphs " sheetId="10" r:id="rId6"/>
    <sheet name="OLS_Regression Analysis" sheetId="9" r:id="rId7"/>
  </sheets>
  <definedNames>
    <definedName name="_xlchart.v1.0" hidden="1">'Graphs '!$B$9:$B$10</definedName>
    <definedName name="_xlchart.v1.1" hidden="1">'Graphs '!$C$8</definedName>
    <definedName name="_xlchart.v1.10" hidden="1">'Graphs '!$H$8</definedName>
    <definedName name="_xlchart.v1.11" hidden="1">'Graphs '!$H$9:$H$10</definedName>
    <definedName name="_xlchart.v1.12" hidden="1">'Graphs '!$B$9:$B$10</definedName>
    <definedName name="_xlchart.v1.13" hidden="1">'Graphs '!$C$8</definedName>
    <definedName name="_xlchart.v1.14" hidden="1">'Graphs '!$C$9:$C$10</definedName>
    <definedName name="_xlchart.v1.15" hidden="1">'Graphs '!$D$8</definedName>
    <definedName name="_xlchart.v1.16" hidden="1">'Graphs '!$D$9:$D$10</definedName>
    <definedName name="_xlchart.v1.17" hidden="1">'Graphs '!$E$8</definedName>
    <definedName name="_xlchart.v1.18" hidden="1">'Graphs '!$E$9:$E$10</definedName>
    <definedName name="_xlchart.v1.19" hidden="1">'Graphs '!$F$8</definedName>
    <definedName name="_xlchart.v1.2" hidden="1">'Graphs '!$C$9:$C$10</definedName>
    <definedName name="_xlchart.v1.20" hidden="1">'Graphs '!$F$9:$F$10</definedName>
    <definedName name="_xlchart.v1.21" hidden="1">'Graphs '!$G$9:$G$10</definedName>
    <definedName name="_xlchart.v1.22" hidden="1">'Graphs '!$H$8</definedName>
    <definedName name="_xlchart.v1.23" hidden="1">'Graphs '!$H$9:$H$10</definedName>
    <definedName name="_xlchart.v1.24" hidden="1">'Graphs '!$B$9:$B$10</definedName>
    <definedName name="_xlchart.v1.25" hidden="1">'Graphs '!$C$8</definedName>
    <definedName name="_xlchart.v1.26" hidden="1">'Graphs '!$C$9:$C$10</definedName>
    <definedName name="_xlchart.v1.27" hidden="1">'Graphs '!$D$8</definedName>
    <definedName name="_xlchart.v1.28" hidden="1">'Graphs '!$D$9:$D$10</definedName>
    <definedName name="_xlchart.v1.29" hidden="1">'Graphs '!$E$8</definedName>
    <definedName name="_xlchart.v1.3" hidden="1">'Graphs '!$D$8</definedName>
    <definedName name="_xlchart.v1.30" hidden="1">'Graphs '!$E$9:$E$10</definedName>
    <definedName name="_xlchart.v1.31" hidden="1">'Graphs '!$F$8</definedName>
    <definedName name="_xlchart.v1.32" hidden="1">'Graphs '!$F$9:$F$10</definedName>
    <definedName name="_xlchart.v1.33" hidden="1">'Graphs '!$G$9:$G$10</definedName>
    <definedName name="_xlchart.v1.34" hidden="1">'Graphs '!$H$8</definedName>
    <definedName name="_xlchart.v1.35" hidden="1">'Graphs '!$H$9:$H$10</definedName>
    <definedName name="_xlchart.v1.36" hidden="1">'Graphs '!$B$9:$B$10</definedName>
    <definedName name="_xlchart.v1.37" hidden="1">'Graphs '!$C$8</definedName>
    <definedName name="_xlchart.v1.38" hidden="1">'Graphs '!$C$9:$C$10</definedName>
    <definedName name="_xlchart.v1.39" hidden="1">'Graphs '!$D$8</definedName>
    <definedName name="_xlchart.v1.4" hidden="1">'Graphs '!$D$9:$D$10</definedName>
    <definedName name="_xlchart.v1.40" hidden="1">'Graphs '!$D$9:$D$10</definedName>
    <definedName name="_xlchart.v1.41" hidden="1">'Graphs '!$E$8</definedName>
    <definedName name="_xlchart.v1.42" hidden="1">'Graphs '!$E$9:$E$10</definedName>
    <definedName name="_xlchart.v1.43" hidden="1">'Graphs '!$F$8</definedName>
    <definedName name="_xlchart.v1.44" hidden="1">'Graphs '!$F$9:$F$10</definedName>
    <definedName name="_xlchart.v1.45" hidden="1">'Graphs '!$G$9:$G$10</definedName>
    <definedName name="_xlchart.v1.46" hidden="1">'Graphs '!$H$8</definedName>
    <definedName name="_xlchart.v1.47" hidden="1">'Graphs '!$H$9:$H$10</definedName>
    <definedName name="_xlchart.v1.48" hidden="1">'Graphs '!$B$9:$B$10</definedName>
    <definedName name="_xlchart.v1.49" hidden="1">'Graphs '!$C$8</definedName>
    <definedName name="_xlchart.v1.5" hidden="1">'Graphs '!$E$8</definedName>
    <definedName name="_xlchart.v1.50" hidden="1">'Graphs '!$C$9:$C$10</definedName>
    <definedName name="_xlchart.v1.51" hidden="1">'Graphs '!$D$8</definedName>
    <definedName name="_xlchart.v1.52" hidden="1">'Graphs '!$D$9:$D$10</definedName>
    <definedName name="_xlchart.v1.53" hidden="1">'Graphs '!$E$8</definedName>
    <definedName name="_xlchart.v1.54" hidden="1">'Graphs '!$E$9:$E$10</definedName>
    <definedName name="_xlchart.v1.55" hidden="1">'Graphs '!$F$8</definedName>
    <definedName name="_xlchart.v1.56" hidden="1">'Graphs '!$F$9:$F$10</definedName>
    <definedName name="_xlchart.v1.57" hidden="1">'Graphs '!$G$9:$G$10</definedName>
    <definedName name="_xlchart.v1.58" hidden="1">'Graphs '!$H$8</definedName>
    <definedName name="_xlchart.v1.59" hidden="1">'Graphs '!$H$9:$H$10</definedName>
    <definedName name="_xlchart.v1.6" hidden="1">'Graphs '!$E$9:$E$10</definedName>
    <definedName name="_xlchart.v1.7" hidden="1">'Graphs '!$F$8</definedName>
    <definedName name="_xlchart.v1.8" hidden="1">'Graphs '!$F$9:$F$10</definedName>
    <definedName name="_xlchart.v1.9" hidden="1">'Graphs '!$G$9:$G$10</definedName>
    <definedName name="_xlnm.Print_Area" localSheetId="3">Endline_Data_charecteristics!$A$1:$I$18</definedName>
    <definedName name="_xlnm.Print_Area" localSheetId="6">'OLS_Regression Analysis'!$A$1:$J$19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0" l="1"/>
  <c r="H9" i="10"/>
  <c r="E9" i="10"/>
  <c r="D9" i="10"/>
  <c r="C9" i="10"/>
  <c r="K4" i="10"/>
  <c r="K3" i="10"/>
  <c r="G4" i="10"/>
  <c r="G3" i="10"/>
  <c r="C4" i="10"/>
  <c r="C3" i="10"/>
  <c r="O8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S7" i="6"/>
  <c r="H10" i="10" s="1"/>
  <c r="R7" i="6"/>
  <c r="G10" i="10" s="1"/>
  <c r="V11" i="6"/>
  <c r="V10" i="6"/>
  <c r="V9" i="6"/>
  <c r="V8" i="6"/>
  <c r="V7" i="6"/>
  <c r="V6" i="6"/>
  <c r="S6" i="6"/>
  <c r="H4" i="10" s="1"/>
  <c r="F10" i="10" s="1"/>
  <c r="R6" i="6"/>
  <c r="H3" i="10" s="1"/>
  <c r="V5" i="6"/>
  <c r="S5" i="6"/>
  <c r="D4" i="10" s="1"/>
  <c r="D10" i="10" s="1"/>
  <c r="R5" i="6"/>
  <c r="D3" i="10" s="1"/>
  <c r="C10" i="10" s="1"/>
  <c r="P6" i="2"/>
  <c r="O6" i="2"/>
  <c r="R4" i="6"/>
  <c r="S8" i="6" l="1"/>
  <c r="R8" i="6"/>
  <c r="F9" i="10"/>
  <c r="E10" i="10"/>
  <c r="L3" i="10"/>
  <c r="L4" i="10"/>
  <c r="T7" i="6"/>
  <c r="T5" i="6"/>
  <c r="T6" i="6"/>
  <c r="T8" i="6" l="1"/>
  <c r="X12" i="6"/>
  <c r="X26" i="6"/>
  <c r="X28" i="6"/>
  <c r="X34" i="6"/>
  <c r="X36" i="6"/>
  <c r="X42" i="6"/>
  <c r="X44" i="6"/>
  <c r="X50" i="6"/>
  <c r="X52" i="6"/>
  <c r="X66" i="6"/>
  <c r="X76" i="6"/>
  <c r="X82" i="6"/>
  <c r="X84" i="6"/>
  <c r="X92" i="6"/>
  <c r="X98" i="6"/>
  <c r="X100" i="6"/>
  <c r="X108" i="6"/>
  <c r="X114" i="6"/>
  <c r="X116" i="6"/>
  <c r="X124" i="6"/>
  <c r="X130" i="6"/>
  <c r="X138" i="6"/>
  <c r="X140" i="6"/>
  <c r="X146" i="6"/>
  <c r="X154" i="6"/>
  <c r="X156" i="6"/>
  <c r="X158" i="6"/>
  <c r="X162" i="6"/>
  <c r="X170" i="6"/>
  <c r="X176" i="6"/>
  <c r="X177" i="6"/>
  <c r="X178" i="6"/>
  <c r="X188" i="6"/>
  <c r="X192" i="6"/>
  <c r="X193" i="6"/>
  <c r="X194" i="6"/>
  <c r="X198" i="6"/>
  <c r="X202" i="6"/>
  <c r="X204" i="6"/>
  <c r="Y10" i="6"/>
  <c r="Y12" i="6"/>
  <c r="Y18" i="6"/>
  <c r="Y20" i="6"/>
  <c r="Y32" i="6"/>
  <c r="Y34" i="6"/>
  <c r="Y36" i="6"/>
  <c r="Y48" i="6"/>
  <c r="Y49" i="6"/>
  <c r="Y50" i="6"/>
  <c r="Y52" i="6"/>
  <c r="Y58" i="6"/>
  <c r="Y60" i="6"/>
  <c r="Y68" i="6"/>
  <c r="Y74" i="6"/>
  <c r="Y82" i="6"/>
  <c r="Y88" i="6"/>
  <c r="Y89" i="6"/>
  <c r="Y90" i="6"/>
  <c r="Y98" i="6"/>
  <c r="Y100" i="6"/>
  <c r="Y106" i="6"/>
  <c r="Y110" i="6"/>
  <c r="Y114" i="6"/>
  <c r="Y116" i="6"/>
  <c r="Y122" i="6"/>
  <c r="Y128" i="6"/>
  <c r="Y129" i="6"/>
  <c r="Y130" i="6"/>
  <c r="Y132" i="6"/>
  <c r="Y134" i="6"/>
  <c r="Y136" i="6"/>
  <c r="Y137" i="6"/>
  <c r="Y138" i="6"/>
  <c r="Y139" i="6"/>
  <c r="Y140" i="6"/>
  <c r="Y142" i="6"/>
  <c r="Y144" i="6"/>
  <c r="Y148" i="6"/>
  <c r="Y152" i="6"/>
  <c r="Y153" i="6"/>
  <c r="Y154" i="6"/>
  <c r="Y155" i="6"/>
  <c r="Y156" i="6"/>
  <c r="Y164" i="6"/>
  <c r="Y168" i="6"/>
  <c r="Y169" i="6"/>
  <c r="Y170" i="6"/>
  <c r="Y172" i="6"/>
  <c r="Y174" i="6"/>
  <c r="Y178" i="6"/>
  <c r="Y180" i="6"/>
  <c r="Y182" i="6"/>
  <c r="Y184" i="6"/>
  <c r="Y186" i="6"/>
  <c r="Y192" i="6"/>
  <c r="Y194" i="6"/>
  <c r="Y196" i="6"/>
  <c r="Y200" i="6"/>
  <c r="Y202" i="6"/>
  <c r="Y204" i="6"/>
  <c r="X13" i="6"/>
  <c r="X21" i="6"/>
  <c r="X29" i="6"/>
  <c r="X37" i="6"/>
  <c r="X45" i="6"/>
  <c r="X53" i="6"/>
  <c r="X61" i="6"/>
  <c r="X69" i="6"/>
  <c r="X77" i="6"/>
  <c r="X85" i="6"/>
  <c r="X93" i="6"/>
  <c r="X101" i="6"/>
  <c r="X117" i="6"/>
  <c r="X125" i="6"/>
  <c r="X149" i="6"/>
  <c r="X157" i="6"/>
  <c r="X165" i="6"/>
  <c r="X181" i="6"/>
  <c r="X189" i="6"/>
  <c r="X197" i="6"/>
  <c r="Y5" i="6"/>
  <c r="Y13" i="6"/>
  <c r="Y21" i="6"/>
  <c r="Y29" i="6"/>
  <c r="Y37" i="6"/>
  <c r="Y53" i="6"/>
  <c r="Y61" i="6"/>
  <c r="Y69" i="6"/>
  <c r="Y77" i="6"/>
  <c r="Y85" i="6"/>
  <c r="Y93" i="6"/>
  <c r="Y101" i="6"/>
  <c r="Y109" i="6"/>
  <c r="Y117" i="6"/>
  <c r="Y125" i="6"/>
  <c r="Y133" i="6"/>
  <c r="Y141" i="6"/>
  <c r="Y149" i="6"/>
  <c r="Y157" i="6"/>
  <c r="Y165" i="6"/>
  <c r="Y173" i="6"/>
  <c r="Y181" i="6"/>
  <c r="Y189" i="6"/>
  <c r="Y190" i="6"/>
  <c r="Y197" i="6"/>
  <c r="Y198" i="6"/>
  <c r="X5" i="6"/>
  <c r="V90" i="6"/>
  <c r="V122" i="6"/>
  <c r="V130" i="6"/>
  <c r="V138" i="6"/>
  <c r="V154" i="6"/>
  <c r="V162" i="6"/>
  <c r="V178" i="6"/>
  <c r="V186" i="6"/>
  <c r="V194" i="6"/>
  <c r="V202" i="6"/>
  <c r="W10" i="6"/>
  <c r="W18" i="6"/>
  <c r="W26" i="6"/>
  <c r="W34" i="6"/>
  <c r="W42" i="6"/>
  <c r="W50" i="6"/>
  <c r="W58" i="6"/>
  <c r="W74" i="6"/>
  <c r="W82" i="6"/>
  <c r="W90" i="6"/>
  <c r="W94" i="6"/>
  <c r="W98" i="6"/>
  <c r="W102" i="6"/>
  <c r="W106" i="6"/>
  <c r="W114" i="6"/>
  <c r="W118" i="6"/>
  <c r="W126" i="6"/>
  <c r="W138" i="6"/>
  <c r="W142" i="6"/>
  <c r="W146" i="6"/>
  <c r="W150" i="6"/>
  <c r="W154" i="6"/>
  <c r="W158" i="6"/>
  <c r="W162" i="6"/>
  <c r="W170" i="6"/>
  <c r="W174" i="6"/>
  <c r="W178" i="6"/>
  <c r="W186" i="6"/>
  <c r="W190" i="6"/>
  <c r="W194" i="6"/>
  <c r="W202" i="6"/>
  <c r="V13" i="6"/>
  <c r="V14" i="6"/>
  <c r="V15" i="6"/>
  <c r="V16" i="6"/>
  <c r="V21" i="6"/>
  <c r="V22" i="6"/>
  <c r="V23" i="6"/>
  <c r="V24" i="6"/>
  <c r="V29" i="6"/>
  <c r="V31" i="6"/>
  <c r="V32" i="6"/>
  <c r="V37" i="6"/>
  <c r="V45" i="6"/>
  <c r="V46" i="6"/>
  <c r="V47" i="6"/>
  <c r="V48" i="6"/>
  <c r="V53" i="6"/>
  <c r="V54" i="6"/>
  <c r="V55" i="6"/>
  <c r="V56" i="6"/>
  <c r="V61" i="6"/>
  <c r="V63" i="6"/>
  <c r="V64" i="6"/>
  <c r="V69" i="6"/>
  <c r="V70" i="6"/>
  <c r="V71" i="6"/>
  <c r="V72" i="6"/>
  <c r="V77" i="6"/>
  <c r="V78" i="6"/>
  <c r="V79" i="6"/>
  <c r="V80" i="6"/>
  <c r="V85" i="6"/>
  <c r="V88" i="6"/>
  <c r="V93" i="6"/>
  <c r="V94" i="6"/>
  <c r="V95" i="6"/>
  <c r="V96" i="6"/>
  <c r="V101" i="6"/>
  <c r="V102" i="6"/>
  <c r="V103" i="6"/>
  <c r="V104" i="6"/>
  <c r="V109" i="6"/>
  <c r="V117" i="6"/>
  <c r="V118" i="6"/>
  <c r="V119" i="6"/>
  <c r="V120" i="6"/>
  <c r="V125" i="6"/>
  <c r="V127" i="6"/>
  <c r="V128" i="6"/>
  <c r="V133" i="6"/>
  <c r="V134" i="6"/>
  <c r="V135" i="6"/>
  <c r="V136" i="6"/>
  <c r="V141" i="6"/>
  <c r="V142" i="6"/>
  <c r="V143" i="6"/>
  <c r="V144" i="6"/>
  <c r="V149" i="6"/>
  <c r="V152" i="6"/>
  <c r="V157" i="6"/>
  <c r="V158" i="6"/>
  <c r="V159" i="6"/>
  <c r="V160" i="6"/>
  <c r="V165" i="6"/>
  <c r="V166" i="6"/>
  <c r="V167" i="6"/>
  <c r="V168" i="6"/>
  <c r="V173" i="6"/>
  <c r="V181" i="6"/>
  <c r="V182" i="6"/>
  <c r="V183" i="6"/>
  <c r="V184" i="6"/>
  <c r="V189" i="6"/>
  <c r="V191" i="6"/>
  <c r="V192" i="6"/>
  <c r="V197" i="6"/>
  <c r="V198" i="6"/>
  <c r="V199" i="6"/>
  <c r="V200" i="6"/>
  <c r="V204" i="6"/>
  <c r="W7" i="6"/>
  <c r="W8" i="6"/>
  <c r="W13" i="6"/>
  <c r="W14" i="6"/>
  <c r="W15" i="6"/>
  <c r="W16" i="6"/>
  <c r="W21" i="6"/>
  <c r="W22" i="6"/>
  <c r="W23" i="6"/>
  <c r="W24" i="6"/>
  <c r="W29" i="6"/>
  <c r="W30" i="6"/>
  <c r="W31" i="6"/>
  <c r="W32" i="6"/>
  <c r="W37" i="6"/>
  <c r="W40" i="6"/>
  <c r="W45" i="6"/>
  <c r="W46" i="6"/>
  <c r="W47" i="6"/>
  <c r="W48" i="6"/>
  <c r="W53" i="6"/>
  <c r="W54" i="6"/>
  <c r="W55" i="6"/>
  <c r="W56" i="6"/>
  <c r="W61" i="6"/>
  <c r="W62" i="6"/>
  <c r="W63" i="6"/>
  <c r="W64" i="6"/>
  <c r="W68" i="6"/>
  <c r="W69" i="6"/>
  <c r="W76" i="6"/>
  <c r="W77" i="6"/>
  <c r="W78" i="6"/>
  <c r="W79" i="6"/>
  <c r="W80" i="6"/>
  <c r="W84" i="6"/>
  <c r="W85" i="6"/>
  <c r="W87" i="6"/>
  <c r="W88" i="6"/>
  <c r="W92" i="6"/>
  <c r="W93" i="6"/>
  <c r="W95" i="6"/>
  <c r="W96" i="6"/>
  <c r="W100" i="6"/>
  <c r="W101" i="6"/>
  <c r="W103" i="6"/>
  <c r="W104" i="6"/>
  <c r="W108" i="6"/>
  <c r="W109" i="6"/>
  <c r="W112" i="6"/>
  <c r="W116" i="6"/>
  <c r="W117" i="6"/>
  <c r="W119" i="6"/>
  <c r="W120" i="6"/>
  <c r="W124" i="6"/>
  <c r="W125" i="6"/>
  <c r="W127" i="6"/>
  <c r="W128" i="6"/>
  <c r="W132" i="6"/>
  <c r="W133" i="6"/>
  <c r="W140" i="6"/>
  <c r="W141" i="6"/>
  <c r="W143" i="6"/>
  <c r="W144" i="6"/>
  <c r="W148" i="6"/>
  <c r="W149" i="6"/>
  <c r="W151" i="6"/>
  <c r="W152" i="6"/>
  <c r="W156" i="6"/>
  <c r="W157" i="6"/>
  <c r="W159" i="6"/>
  <c r="W160" i="6"/>
  <c r="W164" i="6"/>
  <c r="W165" i="6"/>
  <c r="W166" i="6"/>
  <c r="W167" i="6"/>
  <c r="W168" i="6"/>
  <c r="W172" i="6"/>
  <c r="W173" i="6"/>
  <c r="W176" i="6"/>
  <c r="W180" i="6"/>
  <c r="W181" i="6"/>
  <c r="W182" i="6"/>
  <c r="W183" i="6"/>
  <c r="W184" i="6"/>
  <c r="W188" i="6"/>
  <c r="W189" i="6"/>
  <c r="W191" i="6"/>
  <c r="W192" i="6"/>
  <c r="W196" i="6"/>
  <c r="W197" i="6"/>
  <c r="W204" i="6"/>
  <c r="V405" i="6"/>
  <c r="V404" i="6"/>
  <c r="V403" i="6"/>
  <c r="V402" i="6"/>
  <c r="V401" i="6"/>
  <c r="V400" i="6"/>
  <c r="V399" i="6"/>
  <c r="V398" i="6"/>
  <c r="V397" i="6"/>
  <c r="V396" i="6"/>
  <c r="V395" i="6"/>
  <c r="V394" i="6"/>
  <c r="V393" i="6"/>
  <c r="V392" i="6"/>
  <c r="V391" i="6"/>
  <c r="V390" i="6"/>
  <c r="V389" i="6"/>
  <c r="V388" i="6"/>
  <c r="V387" i="6"/>
  <c r="V386" i="6"/>
  <c r="V385" i="6"/>
  <c r="V384" i="6"/>
  <c r="V383" i="6"/>
  <c r="V382" i="6"/>
  <c r="V381" i="6"/>
  <c r="V380" i="6"/>
  <c r="V379" i="6"/>
  <c r="V378" i="6"/>
  <c r="V377" i="6"/>
  <c r="V376" i="6"/>
  <c r="V375" i="6"/>
  <c r="V374" i="6"/>
  <c r="V373" i="6"/>
  <c r="V372" i="6"/>
  <c r="V371" i="6"/>
  <c r="V370" i="6"/>
  <c r="V369" i="6"/>
  <c r="V368" i="6"/>
  <c r="V367" i="6"/>
  <c r="V366" i="6"/>
  <c r="V365" i="6"/>
  <c r="V364" i="6"/>
  <c r="V363" i="6"/>
  <c r="V362" i="6"/>
  <c r="V361" i="6"/>
  <c r="V360" i="6"/>
  <c r="V359" i="6"/>
  <c r="V358" i="6"/>
  <c r="V357" i="6"/>
  <c r="V356" i="6"/>
  <c r="V355" i="6"/>
  <c r="V354" i="6"/>
  <c r="V353" i="6"/>
  <c r="V352" i="6"/>
  <c r="V351" i="6"/>
  <c r="V350" i="6"/>
  <c r="V349" i="6"/>
  <c r="V348" i="6"/>
  <c r="V347" i="6"/>
  <c r="V346" i="6"/>
  <c r="V345" i="6"/>
  <c r="V344" i="6"/>
  <c r="V343" i="6"/>
  <c r="V342" i="6"/>
  <c r="V341" i="6"/>
  <c r="V340" i="6"/>
  <c r="V339" i="6"/>
  <c r="V338" i="6"/>
  <c r="V337" i="6"/>
  <c r="V336" i="6"/>
  <c r="V335" i="6"/>
  <c r="V334" i="6"/>
  <c r="V333" i="6"/>
  <c r="V332" i="6"/>
  <c r="V331" i="6"/>
  <c r="V330" i="6"/>
  <c r="V329" i="6"/>
  <c r="V328" i="6"/>
  <c r="V327" i="6"/>
  <c r="V326" i="6"/>
  <c r="V325" i="6"/>
  <c r="V324" i="6"/>
  <c r="V323" i="6"/>
  <c r="V322" i="6"/>
  <c r="V321" i="6"/>
  <c r="V320" i="6"/>
  <c r="V319" i="6"/>
  <c r="V318" i="6"/>
  <c r="V317" i="6"/>
  <c r="V316" i="6"/>
  <c r="V315" i="6"/>
  <c r="V314" i="6"/>
  <c r="V313" i="6"/>
  <c r="V312" i="6"/>
  <c r="V311" i="6"/>
  <c r="V310" i="6"/>
  <c r="V309" i="6"/>
  <c r="V308" i="6"/>
  <c r="V307" i="6"/>
  <c r="V306" i="6"/>
  <c r="V305" i="6"/>
  <c r="V304" i="6"/>
  <c r="V303" i="6"/>
  <c r="V302" i="6"/>
  <c r="V301" i="6"/>
  <c r="V300" i="6"/>
  <c r="V299" i="6"/>
  <c r="V298" i="6"/>
  <c r="V297" i="6"/>
  <c r="V296" i="6"/>
  <c r="V295" i="6"/>
  <c r="V294" i="6"/>
  <c r="V293" i="6"/>
  <c r="V292" i="6"/>
  <c r="V291" i="6"/>
  <c r="V290" i="6"/>
  <c r="V289" i="6"/>
  <c r="V288" i="6"/>
  <c r="V287" i="6"/>
  <c r="V286" i="6"/>
  <c r="V285" i="6"/>
  <c r="V284" i="6"/>
  <c r="V283" i="6"/>
  <c r="V282" i="6"/>
  <c r="V281" i="6"/>
  <c r="V280" i="6"/>
  <c r="V279" i="6"/>
  <c r="V278" i="6"/>
  <c r="V277" i="6"/>
  <c r="V276" i="6"/>
  <c r="V275" i="6"/>
  <c r="V274" i="6"/>
  <c r="V273" i="6"/>
  <c r="V272" i="6"/>
  <c r="V271" i="6"/>
  <c r="V270" i="6"/>
  <c r="V269" i="6"/>
  <c r="V268" i="6"/>
  <c r="V267" i="6"/>
  <c r="V266" i="6"/>
  <c r="V265" i="6"/>
  <c r="V264" i="6"/>
  <c r="V263" i="6"/>
  <c r="V262" i="6"/>
  <c r="V261" i="6"/>
  <c r="V260" i="6"/>
  <c r="V259" i="6"/>
  <c r="V258" i="6"/>
  <c r="V257" i="6"/>
  <c r="V256" i="6"/>
  <c r="V255" i="6"/>
  <c r="V254" i="6"/>
  <c r="V253" i="6"/>
  <c r="V252" i="6"/>
  <c r="V251" i="6"/>
  <c r="V250" i="6"/>
  <c r="V249" i="6"/>
  <c r="V248" i="6"/>
  <c r="V247" i="6"/>
  <c r="V246" i="6"/>
  <c r="V245" i="6"/>
  <c r="V244" i="6"/>
  <c r="V243" i="6"/>
  <c r="V242" i="6"/>
  <c r="V241" i="6"/>
  <c r="V240" i="6"/>
  <c r="V239" i="6"/>
  <c r="V238" i="6"/>
  <c r="V237" i="6"/>
  <c r="V236" i="6"/>
  <c r="V235" i="6"/>
  <c r="V234" i="6"/>
  <c r="V233" i="6"/>
  <c r="V232" i="6"/>
  <c r="X208" i="6"/>
  <c r="V208" i="6"/>
  <c r="X207" i="6"/>
  <c r="V207" i="6"/>
  <c r="X206" i="6"/>
  <c r="AC204" i="6"/>
  <c r="AB204" i="6"/>
  <c r="AA204" i="6"/>
  <c r="Z204" i="6"/>
  <c r="AC203" i="6"/>
  <c r="AB203" i="6"/>
  <c r="AA203" i="6"/>
  <c r="Z203" i="6"/>
  <c r="Y203" i="6"/>
  <c r="X203" i="6"/>
  <c r="W203" i="6"/>
  <c r="V203" i="6"/>
  <c r="AC202" i="6"/>
  <c r="AB202" i="6"/>
  <c r="AA202" i="6"/>
  <c r="Z202" i="6"/>
  <c r="AC201" i="6"/>
  <c r="AB201" i="6"/>
  <c r="AA201" i="6"/>
  <c r="Z201" i="6"/>
  <c r="Y201" i="6"/>
  <c r="X201" i="6"/>
  <c r="W201" i="6"/>
  <c r="V201" i="6"/>
  <c r="AC200" i="6"/>
  <c r="AB200" i="6"/>
  <c r="AA200" i="6"/>
  <c r="Z200" i="6"/>
  <c r="X200" i="6"/>
  <c r="W200" i="6"/>
  <c r="AC199" i="6"/>
  <c r="AB199" i="6"/>
  <c r="AA199" i="6"/>
  <c r="Z199" i="6"/>
  <c r="Y199" i="6"/>
  <c r="X199" i="6"/>
  <c r="W199" i="6"/>
  <c r="AC198" i="6"/>
  <c r="AB198" i="6"/>
  <c r="AA198" i="6"/>
  <c r="Z198" i="6"/>
  <c r="W198" i="6"/>
  <c r="AC197" i="6"/>
  <c r="AB197" i="6"/>
  <c r="AA197" i="6"/>
  <c r="Z197" i="6"/>
  <c r="AC196" i="6"/>
  <c r="AB196" i="6"/>
  <c r="AA196" i="6"/>
  <c r="Z196" i="6"/>
  <c r="X196" i="6"/>
  <c r="V196" i="6"/>
  <c r="AC195" i="6"/>
  <c r="AB195" i="6"/>
  <c r="AA195" i="6"/>
  <c r="Z195" i="6"/>
  <c r="Y195" i="6"/>
  <c r="X195" i="6"/>
  <c r="W195" i="6"/>
  <c r="V195" i="6"/>
  <c r="AC194" i="6"/>
  <c r="AB194" i="6"/>
  <c r="AA194" i="6"/>
  <c r="Z194" i="6"/>
  <c r="AC193" i="6"/>
  <c r="AB193" i="6"/>
  <c r="AA193" i="6"/>
  <c r="Z193" i="6"/>
  <c r="Y193" i="6"/>
  <c r="W193" i="6"/>
  <c r="V193" i="6"/>
  <c r="AC192" i="6"/>
  <c r="AB192" i="6"/>
  <c r="AA192" i="6"/>
  <c r="Z192" i="6"/>
  <c r="AC191" i="6"/>
  <c r="AB191" i="6"/>
  <c r="AA191" i="6"/>
  <c r="Z191" i="6"/>
  <c r="Y191" i="6"/>
  <c r="X191" i="6"/>
  <c r="AC190" i="6"/>
  <c r="AB190" i="6"/>
  <c r="AA190" i="6"/>
  <c r="Z190" i="6"/>
  <c r="X190" i="6"/>
  <c r="V190" i="6"/>
  <c r="AC189" i="6"/>
  <c r="AB189" i="6"/>
  <c r="AA189" i="6"/>
  <c r="Z189" i="6"/>
  <c r="AC188" i="6"/>
  <c r="AB188" i="6"/>
  <c r="AA188" i="6"/>
  <c r="Z188" i="6"/>
  <c r="Y188" i="6"/>
  <c r="V188" i="6"/>
  <c r="AC187" i="6"/>
  <c r="AB187" i="6"/>
  <c r="AA187" i="6"/>
  <c r="Z187" i="6"/>
  <c r="Y187" i="6"/>
  <c r="X187" i="6"/>
  <c r="W187" i="6"/>
  <c r="V187" i="6"/>
  <c r="AC186" i="6"/>
  <c r="AB186" i="6"/>
  <c r="AA186" i="6"/>
  <c r="Z186" i="6"/>
  <c r="X186" i="6"/>
  <c r="AC185" i="6"/>
  <c r="AB185" i="6"/>
  <c r="AA185" i="6"/>
  <c r="Z185" i="6"/>
  <c r="Y185" i="6"/>
  <c r="X185" i="6"/>
  <c r="W185" i="6"/>
  <c r="V185" i="6"/>
  <c r="AC184" i="6"/>
  <c r="AB184" i="6"/>
  <c r="AA184" i="6"/>
  <c r="Z184" i="6"/>
  <c r="X184" i="6"/>
  <c r="AC183" i="6"/>
  <c r="AB183" i="6"/>
  <c r="AA183" i="6"/>
  <c r="Z183" i="6"/>
  <c r="Y183" i="6"/>
  <c r="X183" i="6"/>
  <c r="AC182" i="6"/>
  <c r="AB182" i="6"/>
  <c r="AA182" i="6"/>
  <c r="Z182" i="6"/>
  <c r="X182" i="6"/>
  <c r="AC181" i="6"/>
  <c r="AB181" i="6"/>
  <c r="AA181" i="6"/>
  <c r="Z181" i="6"/>
  <c r="AC180" i="6"/>
  <c r="AB180" i="6"/>
  <c r="AA180" i="6"/>
  <c r="Z180" i="6"/>
  <c r="X180" i="6"/>
  <c r="V180" i="6"/>
  <c r="AC179" i="6"/>
  <c r="AB179" i="6"/>
  <c r="AA179" i="6"/>
  <c r="Z179" i="6"/>
  <c r="Y179" i="6"/>
  <c r="X179" i="6"/>
  <c r="W179" i="6"/>
  <c r="V179" i="6"/>
  <c r="AC178" i="6"/>
  <c r="AB178" i="6"/>
  <c r="AA178" i="6"/>
  <c r="Z178" i="6"/>
  <c r="AC177" i="6"/>
  <c r="AB177" i="6"/>
  <c r="AA177" i="6"/>
  <c r="Z177" i="6"/>
  <c r="Y177" i="6"/>
  <c r="W177" i="6"/>
  <c r="V177" i="6"/>
  <c r="AC176" i="6"/>
  <c r="AB176" i="6"/>
  <c r="AA176" i="6"/>
  <c r="Z176" i="6"/>
  <c r="Y176" i="6"/>
  <c r="V176" i="6"/>
  <c r="AC175" i="6"/>
  <c r="AB175" i="6"/>
  <c r="AA175" i="6"/>
  <c r="Z175" i="6"/>
  <c r="Y175" i="6"/>
  <c r="X175" i="6"/>
  <c r="W175" i="6"/>
  <c r="V175" i="6"/>
  <c r="AC174" i="6"/>
  <c r="AB174" i="6"/>
  <c r="AA174" i="6"/>
  <c r="Z174" i="6"/>
  <c r="X174" i="6"/>
  <c r="V174" i="6"/>
  <c r="AC173" i="6"/>
  <c r="AB173" i="6"/>
  <c r="AA173" i="6"/>
  <c r="Z173" i="6"/>
  <c r="X173" i="6"/>
  <c r="AC172" i="6"/>
  <c r="AB172" i="6"/>
  <c r="AA172" i="6"/>
  <c r="Z172" i="6"/>
  <c r="X172" i="6"/>
  <c r="V172" i="6"/>
  <c r="AC171" i="6"/>
  <c r="AB171" i="6"/>
  <c r="AA171" i="6"/>
  <c r="Z171" i="6"/>
  <c r="Y171" i="6"/>
  <c r="X171" i="6"/>
  <c r="W171" i="6"/>
  <c r="V171" i="6"/>
  <c r="AC170" i="6"/>
  <c r="AB170" i="6"/>
  <c r="AA170" i="6"/>
  <c r="Z170" i="6"/>
  <c r="V170" i="6"/>
  <c r="AC169" i="6"/>
  <c r="AB169" i="6"/>
  <c r="AA169" i="6"/>
  <c r="Z169" i="6"/>
  <c r="X169" i="6"/>
  <c r="W169" i="6"/>
  <c r="V169" i="6"/>
  <c r="AC168" i="6"/>
  <c r="AB168" i="6"/>
  <c r="AA168" i="6"/>
  <c r="Z168" i="6"/>
  <c r="X168" i="6"/>
  <c r="AC167" i="6"/>
  <c r="AB167" i="6"/>
  <c r="AA167" i="6"/>
  <c r="Z167" i="6"/>
  <c r="Y167" i="6"/>
  <c r="X167" i="6"/>
  <c r="AC166" i="6"/>
  <c r="AB166" i="6"/>
  <c r="AA166" i="6"/>
  <c r="Z166" i="6"/>
  <c r="Y166" i="6"/>
  <c r="X166" i="6"/>
  <c r="AC165" i="6"/>
  <c r="AB165" i="6"/>
  <c r="AA165" i="6"/>
  <c r="Z165" i="6"/>
  <c r="AC164" i="6"/>
  <c r="AB164" i="6"/>
  <c r="AA164" i="6"/>
  <c r="Z164" i="6"/>
  <c r="X164" i="6"/>
  <c r="V164" i="6"/>
  <c r="AC163" i="6"/>
  <c r="AB163" i="6"/>
  <c r="AA163" i="6"/>
  <c r="Z163" i="6"/>
  <c r="Y163" i="6"/>
  <c r="X163" i="6"/>
  <c r="W163" i="6"/>
  <c r="V163" i="6"/>
  <c r="AC162" i="6"/>
  <c r="AB162" i="6"/>
  <c r="AA162" i="6"/>
  <c r="Z162" i="6"/>
  <c r="Y162" i="6"/>
  <c r="AC161" i="6"/>
  <c r="AB161" i="6"/>
  <c r="AA161" i="6"/>
  <c r="Z161" i="6"/>
  <c r="Y161" i="6"/>
  <c r="X161" i="6"/>
  <c r="W161" i="6"/>
  <c r="V161" i="6"/>
  <c r="AC160" i="6"/>
  <c r="AB160" i="6"/>
  <c r="AA160" i="6"/>
  <c r="Z160" i="6"/>
  <c r="Y160" i="6"/>
  <c r="X160" i="6"/>
  <c r="AC159" i="6"/>
  <c r="AB159" i="6"/>
  <c r="AA159" i="6"/>
  <c r="Z159" i="6"/>
  <c r="Y159" i="6"/>
  <c r="X159" i="6"/>
  <c r="AC158" i="6"/>
  <c r="AB158" i="6"/>
  <c r="AA158" i="6"/>
  <c r="Z158" i="6"/>
  <c r="Y158" i="6"/>
  <c r="AC157" i="6"/>
  <c r="AB157" i="6"/>
  <c r="AA157" i="6"/>
  <c r="Z157" i="6"/>
  <c r="AC156" i="6"/>
  <c r="AB156" i="6"/>
  <c r="AA156" i="6"/>
  <c r="Z156" i="6"/>
  <c r="V156" i="6"/>
  <c r="AC155" i="6"/>
  <c r="AB155" i="6"/>
  <c r="AA155" i="6"/>
  <c r="Z155" i="6"/>
  <c r="X155" i="6"/>
  <c r="W155" i="6"/>
  <c r="V155" i="6"/>
  <c r="AC154" i="6"/>
  <c r="AB154" i="6"/>
  <c r="AA154" i="6"/>
  <c r="Z154" i="6"/>
  <c r="AC153" i="6"/>
  <c r="AB153" i="6"/>
  <c r="AA153" i="6"/>
  <c r="Z153" i="6"/>
  <c r="X153" i="6"/>
  <c r="W153" i="6"/>
  <c r="V153" i="6"/>
  <c r="AC152" i="6"/>
  <c r="AB152" i="6"/>
  <c r="AA152" i="6"/>
  <c r="Z152" i="6"/>
  <c r="X152" i="6"/>
  <c r="AC151" i="6"/>
  <c r="AB151" i="6"/>
  <c r="AA151" i="6"/>
  <c r="Z151" i="6"/>
  <c r="Y151" i="6"/>
  <c r="X151" i="6"/>
  <c r="V151" i="6"/>
  <c r="AC150" i="6"/>
  <c r="AB150" i="6"/>
  <c r="AA150" i="6"/>
  <c r="Z150" i="6"/>
  <c r="Y150" i="6"/>
  <c r="X150" i="6"/>
  <c r="V150" i="6"/>
  <c r="AC149" i="6"/>
  <c r="AB149" i="6"/>
  <c r="AA149" i="6"/>
  <c r="Z149" i="6"/>
  <c r="AC148" i="6"/>
  <c r="AB148" i="6"/>
  <c r="AA148" i="6"/>
  <c r="Z148" i="6"/>
  <c r="X148" i="6"/>
  <c r="V148" i="6"/>
  <c r="AC147" i="6"/>
  <c r="AB147" i="6"/>
  <c r="AA147" i="6"/>
  <c r="Z147" i="6"/>
  <c r="Y147" i="6"/>
  <c r="X147" i="6"/>
  <c r="W147" i="6"/>
  <c r="V147" i="6"/>
  <c r="AC146" i="6"/>
  <c r="AB146" i="6"/>
  <c r="AA146" i="6"/>
  <c r="Z146" i="6"/>
  <c r="Y146" i="6"/>
  <c r="V146" i="6"/>
  <c r="AC145" i="6"/>
  <c r="AB145" i="6"/>
  <c r="AA145" i="6"/>
  <c r="Z145" i="6"/>
  <c r="Y145" i="6"/>
  <c r="X145" i="6"/>
  <c r="W145" i="6"/>
  <c r="V145" i="6"/>
  <c r="AC144" i="6"/>
  <c r="AB144" i="6"/>
  <c r="AA144" i="6"/>
  <c r="Z144" i="6"/>
  <c r="X144" i="6"/>
  <c r="AC143" i="6"/>
  <c r="AB143" i="6"/>
  <c r="AA143" i="6"/>
  <c r="Z143" i="6"/>
  <c r="Y143" i="6"/>
  <c r="X143" i="6"/>
  <c r="AC142" i="6"/>
  <c r="AB142" i="6"/>
  <c r="AA142" i="6"/>
  <c r="Z142" i="6"/>
  <c r="X142" i="6"/>
  <c r="AC141" i="6"/>
  <c r="AB141" i="6"/>
  <c r="AA141" i="6"/>
  <c r="Z141" i="6"/>
  <c r="X141" i="6"/>
  <c r="AC140" i="6"/>
  <c r="AB140" i="6"/>
  <c r="AA140" i="6"/>
  <c r="Z140" i="6"/>
  <c r="V140" i="6"/>
  <c r="AC139" i="6"/>
  <c r="AB139" i="6"/>
  <c r="AA139" i="6"/>
  <c r="Z139" i="6"/>
  <c r="X139" i="6"/>
  <c r="W139" i="6"/>
  <c r="V139" i="6"/>
  <c r="AC138" i="6"/>
  <c r="AB138" i="6"/>
  <c r="AA138" i="6"/>
  <c r="Z138" i="6"/>
  <c r="AC137" i="6"/>
  <c r="AB137" i="6"/>
  <c r="AA137" i="6"/>
  <c r="Z137" i="6"/>
  <c r="X137" i="6"/>
  <c r="W137" i="6"/>
  <c r="V137" i="6"/>
  <c r="AC136" i="6"/>
  <c r="AB136" i="6"/>
  <c r="AA136" i="6"/>
  <c r="Z136" i="6"/>
  <c r="X136" i="6"/>
  <c r="W136" i="6"/>
  <c r="AC135" i="6"/>
  <c r="AB135" i="6"/>
  <c r="AA135" i="6"/>
  <c r="Z135" i="6"/>
  <c r="Y135" i="6"/>
  <c r="X135" i="6"/>
  <c r="W135" i="6"/>
  <c r="AC134" i="6"/>
  <c r="AB134" i="6"/>
  <c r="AA134" i="6"/>
  <c r="Z134" i="6"/>
  <c r="X134" i="6"/>
  <c r="W134" i="6"/>
  <c r="AC133" i="6"/>
  <c r="AB133" i="6"/>
  <c r="AA133" i="6"/>
  <c r="Z133" i="6"/>
  <c r="X133" i="6"/>
  <c r="AC132" i="6"/>
  <c r="AB132" i="6"/>
  <c r="AA132" i="6"/>
  <c r="Z132" i="6"/>
  <c r="X132" i="6"/>
  <c r="V132" i="6"/>
  <c r="AC131" i="6"/>
  <c r="AB131" i="6"/>
  <c r="AA131" i="6"/>
  <c r="Z131" i="6"/>
  <c r="Y131" i="6"/>
  <c r="X131" i="6"/>
  <c r="W131" i="6"/>
  <c r="V131" i="6"/>
  <c r="AC130" i="6"/>
  <c r="AB130" i="6"/>
  <c r="AA130" i="6"/>
  <c r="Z130" i="6"/>
  <c r="W130" i="6"/>
  <c r="AC129" i="6"/>
  <c r="AB129" i="6"/>
  <c r="AA129" i="6"/>
  <c r="Z129" i="6"/>
  <c r="X129" i="6"/>
  <c r="W129" i="6"/>
  <c r="V129" i="6"/>
  <c r="AC128" i="6"/>
  <c r="AB128" i="6"/>
  <c r="AA128" i="6"/>
  <c r="Z128" i="6"/>
  <c r="X128" i="6"/>
  <c r="AC127" i="6"/>
  <c r="AB127" i="6"/>
  <c r="AA127" i="6"/>
  <c r="Z127" i="6"/>
  <c r="Y127" i="6"/>
  <c r="X127" i="6"/>
  <c r="AC126" i="6"/>
  <c r="AB126" i="6"/>
  <c r="AA126" i="6"/>
  <c r="Z126" i="6"/>
  <c r="Y126" i="6"/>
  <c r="X126" i="6"/>
  <c r="V126" i="6"/>
  <c r="AC125" i="6"/>
  <c r="AB125" i="6"/>
  <c r="AA125" i="6"/>
  <c r="Z125" i="6"/>
  <c r="AC124" i="6"/>
  <c r="AB124" i="6"/>
  <c r="AA124" i="6"/>
  <c r="Z124" i="6"/>
  <c r="Y124" i="6"/>
  <c r="V124" i="6"/>
  <c r="AC123" i="6"/>
  <c r="AB123" i="6"/>
  <c r="AA123" i="6"/>
  <c r="Z123" i="6"/>
  <c r="Y123" i="6"/>
  <c r="X123" i="6"/>
  <c r="W123" i="6"/>
  <c r="V123" i="6"/>
  <c r="AC122" i="6"/>
  <c r="AB122" i="6"/>
  <c r="AA122" i="6"/>
  <c r="Z122" i="6"/>
  <c r="X122" i="6"/>
  <c r="W122" i="6"/>
  <c r="AC121" i="6"/>
  <c r="AB121" i="6"/>
  <c r="AA121" i="6"/>
  <c r="Z121" i="6"/>
  <c r="Y121" i="6"/>
  <c r="X121" i="6"/>
  <c r="W121" i="6"/>
  <c r="V121" i="6"/>
  <c r="AC120" i="6"/>
  <c r="AB120" i="6"/>
  <c r="AA120" i="6"/>
  <c r="Z120" i="6"/>
  <c r="Y120" i="6"/>
  <c r="X120" i="6"/>
  <c r="AC119" i="6"/>
  <c r="AB119" i="6"/>
  <c r="AA119" i="6"/>
  <c r="Z119" i="6"/>
  <c r="Y119" i="6"/>
  <c r="X119" i="6"/>
  <c r="AC118" i="6"/>
  <c r="AB118" i="6"/>
  <c r="AA118" i="6"/>
  <c r="Z118" i="6"/>
  <c r="Y118" i="6"/>
  <c r="X118" i="6"/>
  <c r="AC117" i="6"/>
  <c r="AB117" i="6"/>
  <c r="AA117" i="6"/>
  <c r="Z117" i="6"/>
  <c r="AC116" i="6"/>
  <c r="AB116" i="6"/>
  <c r="AA116" i="6"/>
  <c r="Z116" i="6"/>
  <c r="V116" i="6"/>
  <c r="AC115" i="6"/>
  <c r="AB115" i="6"/>
  <c r="AA115" i="6"/>
  <c r="Z115" i="6"/>
  <c r="Y115" i="6"/>
  <c r="X115" i="6"/>
  <c r="W115" i="6"/>
  <c r="V115" i="6"/>
  <c r="AC114" i="6"/>
  <c r="AB114" i="6"/>
  <c r="AA114" i="6"/>
  <c r="Z114" i="6"/>
  <c r="V114" i="6"/>
  <c r="AC113" i="6"/>
  <c r="AB113" i="6"/>
  <c r="AA113" i="6"/>
  <c r="Z113" i="6"/>
  <c r="Y113" i="6"/>
  <c r="X113" i="6"/>
  <c r="W113" i="6"/>
  <c r="V113" i="6"/>
  <c r="AC112" i="6"/>
  <c r="AB112" i="6"/>
  <c r="AA112" i="6"/>
  <c r="Z112" i="6"/>
  <c r="Y112" i="6"/>
  <c r="X112" i="6"/>
  <c r="V112" i="6"/>
  <c r="AC111" i="6"/>
  <c r="AB111" i="6"/>
  <c r="AA111" i="6"/>
  <c r="Z111" i="6"/>
  <c r="Y111" i="6"/>
  <c r="X111" i="6"/>
  <c r="W111" i="6"/>
  <c r="V111" i="6"/>
  <c r="AC110" i="6"/>
  <c r="AB110" i="6"/>
  <c r="AA110" i="6"/>
  <c r="Z110" i="6"/>
  <c r="X110" i="6"/>
  <c r="W110" i="6"/>
  <c r="V110" i="6"/>
  <c r="AC109" i="6"/>
  <c r="AB109" i="6"/>
  <c r="AA109" i="6"/>
  <c r="Z109" i="6"/>
  <c r="X109" i="6"/>
  <c r="AC108" i="6"/>
  <c r="AB108" i="6"/>
  <c r="AA108" i="6"/>
  <c r="Z108" i="6"/>
  <c r="Y108" i="6"/>
  <c r="V108" i="6"/>
  <c r="AC107" i="6"/>
  <c r="AB107" i="6"/>
  <c r="AA107" i="6"/>
  <c r="Z107" i="6"/>
  <c r="Y107" i="6"/>
  <c r="X107" i="6"/>
  <c r="W107" i="6"/>
  <c r="V107" i="6"/>
  <c r="AC106" i="6"/>
  <c r="AB106" i="6"/>
  <c r="AA106" i="6"/>
  <c r="Z106" i="6"/>
  <c r="X106" i="6"/>
  <c r="V106" i="6"/>
  <c r="AC105" i="6"/>
  <c r="AB105" i="6"/>
  <c r="AA105" i="6"/>
  <c r="Z105" i="6"/>
  <c r="Y105" i="6"/>
  <c r="X105" i="6"/>
  <c r="W105" i="6"/>
  <c r="V105" i="6"/>
  <c r="AC104" i="6"/>
  <c r="AB104" i="6"/>
  <c r="AA104" i="6"/>
  <c r="Z104" i="6"/>
  <c r="Y104" i="6"/>
  <c r="X104" i="6"/>
  <c r="AC103" i="6"/>
  <c r="AB103" i="6"/>
  <c r="AA103" i="6"/>
  <c r="Z103" i="6"/>
  <c r="Y103" i="6"/>
  <c r="X103" i="6"/>
  <c r="AC102" i="6"/>
  <c r="AB102" i="6"/>
  <c r="AA102" i="6"/>
  <c r="Z102" i="6"/>
  <c r="Y102" i="6"/>
  <c r="X102" i="6"/>
  <c r="AC101" i="6"/>
  <c r="AB101" i="6"/>
  <c r="AA101" i="6"/>
  <c r="Z101" i="6"/>
  <c r="AC100" i="6"/>
  <c r="AB100" i="6"/>
  <c r="AA100" i="6"/>
  <c r="Z100" i="6"/>
  <c r="V100" i="6"/>
  <c r="AC99" i="6"/>
  <c r="AB99" i="6"/>
  <c r="AA99" i="6"/>
  <c r="Z99" i="6"/>
  <c r="Y99" i="6"/>
  <c r="X99" i="6"/>
  <c r="W99" i="6"/>
  <c r="V99" i="6"/>
  <c r="AC98" i="6"/>
  <c r="AB98" i="6"/>
  <c r="AA98" i="6"/>
  <c r="Z98" i="6"/>
  <c r="V98" i="6"/>
  <c r="AC97" i="6"/>
  <c r="AB97" i="6"/>
  <c r="AA97" i="6"/>
  <c r="Z97" i="6"/>
  <c r="Y97" i="6"/>
  <c r="X97" i="6"/>
  <c r="W97" i="6"/>
  <c r="V97" i="6"/>
  <c r="AC96" i="6"/>
  <c r="AB96" i="6"/>
  <c r="AA96" i="6"/>
  <c r="Z96" i="6"/>
  <c r="Y96" i="6"/>
  <c r="X96" i="6"/>
  <c r="AC95" i="6"/>
  <c r="AB95" i="6"/>
  <c r="AA95" i="6"/>
  <c r="Z95" i="6"/>
  <c r="Y95" i="6"/>
  <c r="X95" i="6"/>
  <c r="AC94" i="6"/>
  <c r="AB94" i="6"/>
  <c r="AA94" i="6"/>
  <c r="Z94" i="6"/>
  <c r="Y94" i="6"/>
  <c r="X94" i="6"/>
  <c r="AC93" i="6"/>
  <c r="AB93" i="6"/>
  <c r="AA93" i="6"/>
  <c r="Z93" i="6"/>
  <c r="AC92" i="6"/>
  <c r="AB92" i="6"/>
  <c r="AA92" i="6"/>
  <c r="Z92" i="6"/>
  <c r="Y92" i="6"/>
  <c r="V92" i="6"/>
  <c r="AC91" i="6"/>
  <c r="AB91" i="6"/>
  <c r="AA91" i="6"/>
  <c r="Z91" i="6"/>
  <c r="Y91" i="6"/>
  <c r="X91" i="6"/>
  <c r="W91" i="6"/>
  <c r="V91" i="6"/>
  <c r="AC90" i="6"/>
  <c r="AB90" i="6"/>
  <c r="AA90" i="6"/>
  <c r="Z90" i="6"/>
  <c r="X90" i="6"/>
  <c r="AC89" i="6"/>
  <c r="AB89" i="6"/>
  <c r="AA89" i="6"/>
  <c r="Z89" i="6"/>
  <c r="X89" i="6"/>
  <c r="W89" i="6"/>
  <c r="V89" i="6"/>
  <c r="AC88" i="6"/>
  <c r="AB88" i="6"/>
  <c r="AA88" i="6"/>
  <c r="Z88" i="6"/>
  <c r="X88" i="6"/>
  <c r="AC87" i="6"/>
  <c r="AB87" i="6"/>
  <c r="AA87" i="6"/>
  <c r="Z87" i="6"/>
  <c r="Y87" i="6"/>
  <c r="X87" i="6"/>
  <c r="V87" i="6"/>
  <c r="AC86" i="6"/>
  <c r="AB86" i="6"/>
  <c r="AA86" i="6"/>
  <c r="Z86" i="6"/>
  <c r="Y86" i="6"/>
  <c r="X86" i="6"/>
  <c r="W86" i="6"/>
  <c r="V86" i="6"/>
  <c r="AC85" i="6"/>
  <c r="AB85" i="6"/>
  <c r="AA85" i="6"/>
  <c r="Z85" i="6"/>
  <c r="AC84" i="6"/>
  <c r="AB84" i="6"/>
  <c r="AA84" i="6"/>
  <c r="Z84" i="6"/>
  <c r="Y84" i="6"/>
  <c r="V84" i="6"/>
  <c r="AC83" i="6"/>
  <c r="AB83" i="6"/>
  <c r="AA83" i="6"/>
  <c r="Z83" i="6"/>
  <c r="Y83" i="6"/>
  <c r="X83" i="6"/>
  <c r="W83" i="6"/>
  <c r="V83" i="6"/>
  <c r="AC82" i="6"/>
  <c r="AB82" i="6"/>
  <c r="AA82" i="6"/>
  <c r="Z82" i="6"/>
  <c r="V82" i="6"/>
  <c r="AC81" i="6"/>
  <c r="AB81" i="6"/>
  <c r="AA81" i="6"/>
  <c r="Z81" i="6"/>
  <c r="Y81" i="6"/>
  <c r="X81" i="6"/>
  <c r="W81" i="6"/>
  <c r="V81" i="6"/>
  <c r="AC80" i="6"/>
  <c r="AB80" i="6"/>
  <c r="AA80" i="6"/>
  <c r="Z80" i="6"/>
  <c r="Y80" i="6"/>
  <c r="X80" i="6"/>
  <c r="AC79" i="6"/>
  <c r="AB79" i="6"/>
  <c r="AA79" i="6"/>
  <c r="Z79" i="6"/>
  <c r="Y79" i="6"/>
  <c r="X79" i="6"/>
  <c r="AC78" i="6"/>
  <c r="AB78" i="6"/>
  <c r="AA78" i="6"/>
  <c r="Z78" i="6"/>
  <c r="Y78" i="6"/>
  <c r="X78" i="6"/>
  <c r="AC77" i="6"/>
  <c r="AB77" i="6"/>
  <c r="AA77" i="6"/>
  <c r="Z77" i="6"/>
  <c r="AC76" i="6"/>
  <c r="AB76" i="6"/>
  <c r="AA76" i="6"/>
  <c r="Z76" i="6"/>
  <c r="Y76" i="6"/>
  <c r="V76" i="6"/>
  <c r="AC75" i="6"/>
  <c r="AB75" i="6"/>
  <c r="AA75" i="6"/>
  <c r="Z75" i="6"/>
  <c r="Y75" i="6"/>
  <c r="X75" i="6"/>
  <c r="W75" i="6"/>
  <c r="V75" i="6"/>
  <c r="AC74" i="6"/>
  <c r="AB74" i="6"/>
  <c r="AA74" i="6"/>
  <c r="Z74" i="6"/>
  <c r="X74" i="6"/>
  <c r="V74" i="6"/>
  <c r="AC73" i="6"/>
  <c r="AB73" i="6"/>
  <c r="AA73" i="6"/>
  <c r="Z73" i="6"/>
  <c r="Y73" i="6"/>
  <c r="X73" i="6"/>
  <c r="W73" i="6"/>
  <c r="V73" i="6"/>
  <c r="AC72" i="6"/>
  <c r="AB72" i="6"/>
  <c r="AA72" i="6"/>
  <c r="Z72" i="6"/>
  <c r="Y72" i="6"/>
  <c r="X72" i="6"/>
  <c r="W72" i="6"/>
  <c r="AC71" i="6"/>
  <c r="AB71" i="6"/>
  <c r="AA71" i="6"/>
  <c r="Z71" i="6"/>
  <c r="Y71" i="6"/>
  <c r="X71" i="6"/>
  <c r="W71" i="6"/>
  <c r="AC70" i="6"/>
  <c r="AB70" i="6"/>
  <c r="AA70" i="6"/>
  <c r="Z70" i="6"/>
  <c r="Y70" i="6"/>
  <c r="X70" i="6"/>
  <c r="W70" i="6"/>
  <c r="AC69" i="6"/>
  <c r="AB69" i="6"/>
  <c r="AA69" i="6"/>
  <c r="Z69" i="6"/>
  <c r="AC68" i="6"/>
  <c r="AB68" i="6"/>
  <c r="AA68" i="6"/>
  <c r="Z68" i="6"/>
  <c r="X68" i="6"/>
  <c r="V68" i="6"/>
  <c r="AC67" i="6"/>
  <c r="AB67" i="6"/>
  <c r="AA67" i="6"/>
  <c r="Z67" i="6"/>
  <c r="Y67" i="6"/>
  <c r="X67" i="6"/>
  <c r="W67" i="6"/>
  <c r="V67" i="6"/>
  <c r="AC66" i="6"/>
  <c r="AB66" i="6"/>
  <c r="AA66" i="6"/>
  <c r="Z66" i="6"/>
  <c r="Y66" i="6"/>
  <c r="W66" i="6"/>
  <c r="V66" i="6"/>
  <c r="AC65" i="6"/>
  <c r="AB65" i="6"/>
  <c r="AA65" i="6"/>
  <c r="Z65" i="6"/>
  <c r="Y65" i="6"/>
  <c r="X65" i="6"/>
  <c r="W65" i="6"/>
  <c r="V65" i="6"/>
  <c r="AC64" i="6"/>
  <c r="AB64" i="6"/>
  <c r="AA64" i="6"/>
  <c r="Z64" i="6"/>
  <c r="Y64" i="6"/>
  <c r="X64" i="6"/>
  <c r="AC63" i="6"/>
  <c r="AB63" i="6"/>
  <c r="AA63" i="6"/>
  <c r="Z63" i="6"/>
  <c r="Y63" i="6"/>
  <c r="X63" i="6"/>
  <c r="AC62" i="6"/>
  <c r="AB62" i="6"/>
  <c r="AA62" i="6"/>
  <c r="Z62" i="6"/>
  <c r="Y62" i="6"/>
  <c r="X62" i="6"/>
  <c r="V62" i="6"/>
  <c r="AC61" i="6"/>
  <c r="AB61" i="6"/>
  <c r="AA61" i="6"/>
  <c r="Z61" i="6"/>
  <c r="AC60" i="6"/>
  <c r="AB60" i="6"/>
  <c r="AA60" i="6"/>
  <c r="Z60" i="6"/>
  <c r="X60" i="6"/>
  <c r="W60" i="6"/>
  <c r="V60" i="6"/>
  <c r="AC59" i="6"/>
  <c r="AB59" i="6"/>
  <c r="AA59" i="6"/>
  <c r="Z59" i="6"/>
  <c r="Y59" i="6"/>
  <c r="X59" i="6"/>
  <c r="W59" i="6"/>
  <c r="V59" i="6"/>
  <c r="AC58" i="6"/>
  <c r="AB58" i="6"/>
  <c r="AA58" i="6"/>
  <c r="Z58" i="6"/>
  <c r="X58" i="6"/>
  <c r="V58" i="6"/>
  <c r="AC57" i="6"/>
  <c r="AB57" i="6"/>
  <c r="AA57" i="6"/>
  <c r="Z57" i="6"/>
  <c r="Y57" i="6"/>
  <c r="X57" i="6"/>
  <c r="W57" i="6"/>
  <c r="V57" i="6"/>
  <c r="AC56" i="6"/>
  <c r="AB56" i="6"/>
  <c r="AA56" i="6"/>
  <c r="Z56" i="6"/>
  <c r="Y56" i="6"/>
  <c r="X56" i="6"/>
  <c r="AC55" i="6"/>
  <c r="AB55" i="6"/>
  <c r="AA55" i="6"/>
  <c r="Z55" i="6"/>
  <c r="Y55" i="6"/>
  <c r="X55" i="6"/>
  <c r="AC54" i="6"/>
  <c r="AB54" i="6"/>
  <c r="AA54" i="6"/>
  <c r="Z54" i="6"/>
  <c r="Y54" i="6"/>
  <c r="X54" i="6"/>
  <c r="AC53" i="6"/>
  <c r="AB53" i="6"/>
  <c r="AA53" i="6"/>
  <c r="Z53" i="6"/>
  <c r="AC52" i="6"/>
  <c r="AB52" i="6"/>
  <c r="AA52" i="6"/>
  <c r="Z52" i="6"/>
  <c r="W52" i="6"/>
  <c r="V52" i="6"/>
  <c r="AC51" i="6"/>
  <c r="AB51" i="6"/>
  <c r="AA51" i="6"/>
  <c r="Z51" i="6"/>
  <c r="Y51" i="6"/>
  <c r="X51" i="6"/>
  <c r="W51" i="6"/>
  <c r="V51" i="6"/>
  <c r="AC50" i="6"/>
  <c r="AB50" i="6"/>
  <c r="AA50" i="6"/>
  <c r="Z50" i="6"/>
  <c r="V50" i="6"/>
  <c r="AC49" i="6"/>
  <c r="AB49" i="6"/>
  <c r="AA49" i="6"/>
  <c r="Z49" i="6"/>
  <c r="X49" i="6"/>
  <c r="W49" i="6"/>
  <c r="V49" i="6"/>
  <c r="AC48" i="6"/>
  <c r="AB48" i="6"/>
  <c r="AA48" i="6"/>
  <c r="Z48" i="6"/>
  <c r="X48" i="6"/>
  <c r="AC47" i="6"/>
  <c r="AB47" i="6"/>
  <c r="AA47" i="6"/>
  <c r="Z47" i="6"/>
  <c r="Y47" i="6"/>
  <c r="X47" i="6"/>
  <c r="AC46" i="6"/>
  <c r="AB46" i="6"/>
  <c r="AA46" i="6"/>
  <c r="Z46" i="6"/>
  <c r="Y46" i="6"/>
  <c r="X46" i="6"/>
  <c r="AC45" i="6"/>
  <c r="AB45" i="6"/>
  <c r="AA45" i="6"/>
  <c r="Z45" i="6"/>
  <c r="Y45" i="6"/>
  <c r="AC44" i="6"/>
  <c r="AB44" i="6"/>
  <c r="AA44" i="6"/>
  <c r="Z44" i="6"/>
  <c r="Y44" i="6"/>
  <c r="W44" i="6"/>
  <c r="V44" i="6"/>
  <c r="AC43" i="6"/>
  <c r="AB43" i="6"/>
  <c r="AA43" i="6"/>
  <c r="Z43" i="6"/>
  <c r="Y43" i="6"/>
  <c r="X43" i="6"/>
  <c r="W43" i="6"/>
  <c r="V43" i="6"/>
  <c r="AC42" i="6"/>
  <c r="AB42" i="6"/>
  <c r="AA42" i="6"/>
  <c r="Z42" i="6"/>
  <c r="Y42" i="6"/>
  <c r="V42" i="6"/>
  <c r="AC41" i="6"/>
  <c r="AB41" i="6"/>
  <c r="AA41" i="6"/>
  <c r="Z41" i="6"/>
  <c r="Y41" i="6"/>
  <c r="X41" i="6"/>
  <c r="W41" i="6"/>
  <c r="V41" i="6"/>
  <c r="AC40" i="6"/>
  <c r="AB40" i="6"/>
  <c r="AA40" i="6"/>
  <c r="Z40" i="6"/>
  <c r="Y40" i="6"/>
  <c r="X40" i="6"/>
  <c r="V40" i="6"/>
  <c r="AC39" i="6"/>
  <c r="AB39" i="6"/>
  <c r="AA39" i="6"/>
  <c r="Z39" i="6"/>
  <c r="Y39" i="6"/>
  <c r="X39" i="6"/>
  <c r="W39" i="6"/>
  <c r="V39" i="6"/>
  <c r="AC38" i="6"/>
  <c r="AB38" i="6"/>
  <c r="AA38" i="6"/>
  <c r="Z38" i="6"/>
  <c r="Y38" i="6"/>
  <c r="X38" i="6"/>
  <c r="W38" i="6"/>
  <c r="V38" i="6"/>
  <c r="AC37" i="6"/>
  <c r="AB37" i="6"/>
  <c r="AA37" i="6"/>
  <c r="Z37" i="6"/>
  <c r="AC36" i="6"/>
  <c r="AB36" i="6"/>
  <c r="AA36" i="6"/>
  <c r="Z36" i="6"/>
  <c r="W36" i="6"/>
  <c r="V36" i="6"/>
  <c r="AC35" i="6"/>
  <c r="AB35" i="6"/>
  <c r="AA35" i="6"/>
  <c r="Z35" i="6"/>
  <c r="Y35" i="6"/>
  <c r="X35" i="6"/>
  <c r="W35" i="6"/>
  <c r="V35" i="6"/>
  <c r="AC34" i="6"/>
  <c r="AB34" i="6"/>
  <c r="AA34" i="6"/>
  <c r="Z34" i="6"/>
  <c r="V34" i="6"/>
  <c r="AC33" i="6"/>
  <c r="AB33" i="6"/>
  <c r="AA33" i="6"/>
  <c r="Z33" i="6"/>
  <c r="Y33" i="6"/>
  <c r="X33" i="6"/>
  <c r="W33" i="6"/>
  <c r="V33" i="6"/>
  <c r="AC32" i="6"/>
  <c r="AB32" i="6"/>
  <c r="AA32" i="6"/>
  <c r="Z32" i="6"/>
  <c r="X32" i="6"/>
  <c r="AC31" i="6"/>
  <c r="AB31" i="6"/>
  <c r="AA31" i="6"/>
  <c r="Z31" i="6"/>
  <c r="Y31" i="6"/>
  <c r="X31" i="6"/>
  <c r="AC30" i="6"/>
  <c r="AB30" i="6"/>
  <c r="AA30" i="6"/>
  <c r="Z30" i="6"/>
  <c r="Y30" i="6"/>
  <c r="X30" i="6"/>
  <c r="V30" i="6"/>
  <c r="AC29" i="6"/>
  <c r="AB29" i="6"/>
  <c r="AA29" i="6"/>
  <c r="Z29" i="6"/>
  <c r="AC28" i="6"/>
  <c r="AB28" i="6"/>
  <c r="AA28" i="6"/>
  <c r="Z28" i="6"/>
  <c r="Y28" i="6"/>
  <c r="W28" i="6"/>
  <c r="V28" i="6"/>
  <c r="AC27" i="6"/>
  <c r="AB27" i="6"/>
  <c r="AA27" i="6"/>
  <c r="Z27" i="6"/>
  <c r="Y27" i="6"/>
  <c r="X27" i="6"/>
  <c r="W27" i="6"/>
  <c r="V27" i="6"/>
  <c r="AC26" i="6"/>
  <c r="AB26" i="6"/>
  <c r="AA26" i="6"/>
  <c r="Z26" i="6"/>
  <c r="Y26" i="6"/>
  <c r="V26" i="6"/>
  <c r="AC25" i="6"/>
  <c r="AB25" i="6"/>
  <c r="AA25" i="6"/>
  <c r="Z25" i="6"/>
  <c r="Y25" i="6"/>
  <c r="X25" i="6"/>
  <c r="W25" i="6"/>
  <c r="V25" i="6"/>
  <c r="AC24" i="6"/>
  <c r="AB24" i="6"/>
  <c r="AA24" i="6"/>
  <c r="Z24" i="6"/>
  <c r="Y24" i="6"/>
  <c r="X24" i="6"/>
  <c r="AC23" i="6"/>
  <c r="AB23" i="6"/>
  <c r="AA23" i="6"/>
  <c r="Z23" i="6"/>
  <c r="Y23" i="6"/>
  <c r="X23" i="6"/>
  <c r="AC22" i="6"/>
  <c r="AB22" i="6"/>
  <c r="AA22" i="6"/>
  <c r="Z22" i="6"/>
  <c r="Y22" i="6"/>
  <c r="X22" i="6"/>
  <c r="AC21" i="6"/>
  <c r="AB21" i="6"/>
  <c r="AA21" i="6"/>
  <c r="Z21" i="6"/>
  <c r="AC20" i="6"/>
  <c r="AB20" i="6"/>
  <c r="AA20" i="6"/>
  <c r="Z20" i="6"/>
  <c r="X20" i="6"/>
  <c r="W20" i="6"/>
  <c r="V20" i="6"/>
  <c r="AC19" i="6"/>
  <c r="AB19" i="6"/>
  <c r="AA19" i="6"/>
  <c r="Z19" i="6"/>
  <c r="Y19" i="6"/>
  <c r="X19" i="6"/>
  <c r="W19" i="6"/>
  <c r="V19" i="6"/>
  <c r="AC18" i="6"/>
  <c r="AB18" i="6"/>
  <c r="AA18" i="6"/>
  <c r="Z18" i="6"/>
  <c r="X18" i="6"/>
  <c r="V18" i="6"/>
  <c r="AC17" i="6"/>
  <c r="AB17" i="6"/>
  <c r="AA17" i="6"/>
  <c r="Z17" i="6"/>
  <c r="Y17" i="6"/>
  <c r="X17" i="6"/>
  <c r="W17" i="6"/>
  <c r="V17" i="6"/>
  <c r="AC16" i="6"/>
  <c r="AB16" i="6"/>
  <c r="AA16" i="6"/>
  <c r="Z16" i="6"/>
  <c r="Y16" i="6"/>
  <c r="X16" i="6"/>
  <c r="AC15" i="6"/>
  <c r="AB15" i="6"/>
  <c r="AA15" i="6"/>
  <c r="Z15" i="6"/>
  <c r="Y15" i="6"/>
  <c r="X15" i="6"/>
  <c r="AC14" i="6"/>
  <c r="AB14" i="6"/>
  <c r="AA14" i="6"/>
  <c r="Z14" i="6"/>
  <c r="Y14" i="6"/>
  <c r="X14" i="6"/>
  <c r="AC13" i="6"/>
  <c r="AB13" i="6"/>
  <c r="AA13" i="6"/>
  <c r="Z13" i="6"/>
  <c r="AC12" i="6"/>
  <c r="AB12" i="6"/>
  <c r="AA12" i="6"/>
  <c r="Z12" i="6"/>
  <c r="W12" i="6"/>
  <c r="V12" i="6"/>
  <c r="AC11" i="6"/>
  <c r="AB11" i="6"/>
  <c r="AA11" i="6"/>
  <c r="Z11" i="6"/>
  <c r="Y11" i="6"/>
  <c r="X11" i="6"/>
  <c r="W11" i="6"/>
  <c r="AC10" i="6"/>
  <c r="AB10" i="6"/>
  <c r="AA10" i="6"/>
  <c r="Z10" i="6"/>
  <c r="AC9" i="6"/>
  <c r="AB9" i="6"/>
  <c r="AA9" i="6"/>
  <c r="Z9" i="6"/>
  <c r="Y9" i="6"/>
  <c r="X9" i="6"/>
  <c r="W9" i="6"/>
  <c r="AC8" i="6"/>
  <c r="AB8" i="6"/>
  <c r="AA8" i="6"/>
  <c r="Z8" i="6"/>
  <c r="Y8" i="6"/>
  <c r="X8" i="6"/>
  <c r="AC7" i="6"/>
  <c r="AB7" i="6"/>
  <c r="AA7" i="6"/>
  <c r="Z7" i="6"/>
  <c r="Y7" i="6"/>
  <c r="X7" i="6"/>
  <c r="O7" i="6"/>
  <c r="AC6" i="6"/>
  <c r="AB6" i="6"/>
  <c r="AA6" i="6"/>
  <c r="Z6" i="6"/>
  <c r="Y6" i="6"/>
  <c r="X6" i="6"/>
  <c r="W6" i="6"/>
  <c r="O6" i="6"/>
  <c r="AC5" i="6"/>
  <c r="AB5" i="6"/>
  <c r="AA5" i="6"/>
  <c r="Z5" i="6"/>
  <c r="W5" i="6"/>
  <c r="O5" i="6"/>
  <c r="S4" i="6"/>
  <c r="T4" i="6" s="1"/>
  <c r="O4" i="6"/>
  <c r="S9" i="2"/>
  <c r="S7" i="2"/>
  <c r="S6" i="2"/>
  <c r="AB205" i="6" l="1"/>
  <c r="V205" i="6"/>
  <c r="Y205" i="6"/>
  <c r="AC205" i="6"/>
  <c r="W205" i="6"/>
  <c r="Z205" i="6"/>
  <c r="AA205" i="6"/>
  <c r="X10" i="6"/>
  <c r="X205" i="6" s="1"/>
  <c r="AC206" i="6" l="1"/>
  <c r="AA206" i="6"/>
  <c r="Y206" i="6"/>
  <c r="W206" i="6"/>
  <c r="U206" i="2" l="1"/>
  <c r="U207" i="2"/>
  <c r="U208" i="2"/>
  <c r="U209" i="2"/>
  <c r="S206" i="2"/>
  <c r="S207" i="2"/>
  <c r="S208" i="2"/>
  <c r="S209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L9" i="2" l="1"/>
  <c r="L8" i="2"/>
  <c r="L7" i="2"/>
  <c r="L5" i="2"/>
  <c r="L6" i="2"/>
  <c r="Z94" i="2"/>
  <c r="Y35" i="2"/>
  <c r="Y99" i="2"/>
  <c r="Z37" i="2"/>
  <c r="Y204" i="2"/>
  <c r="Z156" i="2"/>
  <c r="Y74" i="2"/>
  <c r="Y20" i="2"/>
  <c r="Z199" i="2"/>
  <c r="Y45" i="2"/>
  <c r="Z171" i="2"/>
  <c r="Z12" i="2"/>
  <c r="Z147" i="2"/>
  <c r="Z107" i="2"/>
  <c r="Y55" i="2"/>
  <c r="Z180" i="2"/>
  <c r="Z175" i="2"/>
  <c r="Y129" i="2"/>
  <c r="Z83" i="2"/>
  <c r="Y83" i="2"/>
  <c r="Z64" i="2"/>
  <c r="Y112" i="2"/>
  <c r="Z184" i="2"/>
  <c r="Z7" i="2"/>
  <c r="Y97" i="2"/>
  <c r="Y58" i="2"/>
  <c r="Y160" i="2"/>
  <c r="Z113" i="2"/>
  <c r="Y159" i="2"/>
  <c r="Z124" i="2"/>
  <c r="Z23" i="2"/>
  <c r="Z8" i="2"/>
  <c r="Y88" i="2"/>
  <c r="Z100" i="2"/>
  <c r="Y30" i="2"/>
  <c r="Z181" i="2"/>
  <c r="Z26" i="2"/>
  <c r="Z82" i="2"/>
  <c r="Z59" i="2"/>
  <c r="Y193" i="2"/>
  <c r="Z39" i="2"/>
  <c r="Z74" i="2"/>
  <c r="Y106" i="2"/>
  <c r="Z193" i="2"/>
  <c r="Z191" i="2"/>
  <c r="Z176" i="2"/>
  <c r="Z139" i="2"/>
  <c r="Y117" i="2"/>
  <c r="Z205" i="2"/>
  <c r="Y192" i="2"/>
  <c r="Z194" i="2"/>
  <c r="Y86" i="2"/>
  <c r="Z158" i="2"/>
  <c r="Z121" i="2"/>
  <c r="Y113" i="2"/>
  <c r="Z31" i="2"/>
  <c r="Z157" i="2"/>
  <c r="Y150" i="2"/>
  <c r="Z130" i="2"/>
  <c r="Y19" i="2"/>
  <c r="Y120" i="2"/>
  <c r="Y183" i="2"/>
  <c r="Z92" i="2"/>
  <c r="Z36" i="2"/>
  <c r="Y131" i="2"/>
  <c r="Y176" i="2"/>
  <c r="Y8" i="2"/>
  <c r="Z110" i="2"/>
  <c r="Y37" i="2"/>
  <c r="Z189" i="2"/>
  <c r="Z143" i="2"/>
  <c r="Z98" i="2"/>
  <c r="Z173" i="2"/>
  <c r="Z43" i="2"/>
  <c r="Y24" i="2"/>
  <c r="Y166" i="2"/>
  <c r="Y108" i="2"/>
  <c r="Z192" i="2"/>
  <c r="Z73" i="2"/>
  <c r="Y133" i="2"/>
  <c r="Y199" i="2"/>
  <c r="Y56" i="2"/>
  <c r="Y177" i="2"/>
  <c r="Y155" i="2"/>
  <c r="Z78" i="2"/>
  <c r="Z160" i="2"/>
  <c r="Z86" i="2"/>
  <c r="Y185" i="2"/>
  <c r="Z187" i="2"/>
  <c r="Z159" i="2"/>
  <c r="Z63" i="2"/>
  <c r="Y114" i="2"/>
  <c r="Z138" i="2"/>
  <c r="Z20" i="2"/>
  <c r="Z99" i="2"/>
  <c r="Z6" i="2"/>
  <c r="Y27" i="2"/>
  <c r="Z142" i="2"/>
  <c r="Z15" i="2"/>
  <c r="Y169" i="2"/>
  <c r="Y10" i="2"/>
  <c r="Z126" i="2"/>
  <c r="Y151" i="2"/>
  <c r="Y39" i="2"/>
  <c r="Z87" i="2"/>
  <c r="Z182" i="2"/>
  <c r="Z141" i="2"/>
  <c r="Y175" i="2"/>
  <c r="Y80" i="2"/>
  <c r="Z85" i="2"/>
  <c r="Z150" i="2"/>
  <c r="Y142" i="2"/>
  <c r="Z89" i="2"/>
  <c r="Y54" i="2"/>
  <c r="Y172" i="2"/>
  <c r="Z16" i="2"/>
  <c r="Y119" i="2"/>
  <c r="Y188" i="2"/>
  <c r="Y75" i="2"/>
  <c r="Y57" i="2"/>
  <c r="Z188" i="2"/>
  <c r="Y14" i="2"/>
  <c r="Z152" i="2"/>
  <c r="Y109" i="2"/>
  <c r="Z134" i="2"/>
  <c r="Y154" i="2"/>
  <c r="Y22" i="2"/>
  <c r="Z34" i="2"/>
  <c r="Z48" i="2"/>
  <c r="Z10" i="2"/>
  <c r="Z106" i="2"/>
  <c r="Y87" i="2"/>
  <c r="Z164" i="2"/>
  <c r="Y111" i="2"/>
  <c r="Y101" i="2"/>
  <c r="Z177" i="2"/>
  <c r="Z24" i="2"/>
  <c r="Y9" i="2"/>
  <c r="Y181" i="2"/>
  <c r="Y191" i="2"/>
  <c r="Z71" i="2"/>
  <c r="Y16" i="2"/>
  <c r="Z149" i="2"/>
  <c r="Z49" i="2"/>
  <c r="Z200" i="2"/>
  <c r="Y163" i="2"/>
  <c r="Z68" i="2"/>
  <c r="Y140" i="2"/>
  <c r="Y85" i="2"/>
  <c r="Z55" i="2"/>
  <c r="Y165" i="2"/>
  <c r="Y42" i="2"/>
  <c r="Y49" i="2"/>
  <c r="Z80" i="2"/>
  <c r="Z163" i="2"/>
  <c r="Y28" i="2"/>
  <c r="Y38" i="2"/>
  <c r="Y194" i="2"/>
  <c r="Z47" i="2"/>
  <c r="Y195" i="2"/>
  <c r="Z53" i="2"/>
  <c r="Z9" i="2"/>
  <c r="Z96" i="2"/>
  <c r="Y115" i="2"/>
  <c r="Z51" i="2"/>
  <c r="Y203" i="2"/>
  <c r="Y171" i="2"/>
  <c r="Y167" i="2"/>
  <c r="Y162" i="2"/>
  <c r="Y31" i="2"/>
  <c r="Z40" i="2"/>
  <c r="Y67" i="2"/>
  <c r="Y73" i="2"/>
  <c r="Z195" i="2"/>
  <c r="Y126" i="2"/>
  <c r="Z61" i="2"/>
  <c r="Z102" i="2"/>
  <c r="Z204" i="2"/>
  <c r="Z154" i="2"/>
  <c r="Z14" i="2"/>
  <c r="Z201" i="2"/>
  <c r="Z13" i="2"/>
  <c r="Y23" i="2"/>
  <c r="Z62" i="2"/>
  <c r="Z128" i="2"/>
  <c r="Z190" i="2"/>
  <c r="Z105" i="2"/>
  <c r="Y174" i="2"/>
  <c r="Y63" i="2"/>
  <c r="Y66" i="2"/>
  <c r="Z125" i="2"/>
  <c r="Y141" i="2"/>
  <c r="Z79" i="2"/>
  <c r="Y134" i="2"/>
  <c r="Z203" i="2"/>
  <c r="Z75" i="2"/>
  <c r="Y118" i="2"/>
  <c r="Z169" i="2"/>
  <c r="Z165" i="2"/>
  <c r="Y198" i="2"/>
  <c r="Z103" i="2"/>
  <c r="Y94" i="2"/>
  <c r="Z183" i="2"/>
  <c r="Y200" i="2"/>
  <c r="Y116" i="2"/>
  <c r="Y137" i="2"/>
  <c r="Y44" i="2"/>
  <c r="Z54" i="2"/>
  <c r="Z35" i="2"/>
  <c r="Y196" i="2"/>
  <c r="Y173" i="2"/>
  <c r="Z50" i="2"/>
  <c r="Z198" i="2"/>
  <c r="Y186" i="2"/>
  <c r="Z178" i="2"/>
  <c r="Z22" i="2"/>
  <c r="Y161" i="2"/>
  <c r="Z170" i="2"/>
  <c r="Y48" i="2"/>
  <c r="Z77" i="2"/>
  <c r="Y187" i="2"/>
  <c r="Z45" i="2"/>
  <c r="Y105" i="2"/>
  <c r="Z144" i="2"/>
  <c r="Z114" i="2"/>
  <c r="Z123" i="2"/>
  <c r="Z19" i="2"/>
  <c r="Z91" i="2"/>
  <c r="Y60" i="2"/>
  <c r="Y190" i="2"/>
  <c r="Z186" i="2"/>
  <c r="Y202" i="2"/>
  <c r="Z196" i="2"/>
  <c r="Y91" i="2"/>
  <c r="Z60" i="2"/>
  <c r="Y152" i="2"/>
  <c r="Z140" i="2"/>
  <c r="Y179" i="2"/>
  <c r="Z197" i="2"/>
  <c r="Z145" i="2"/>
  <c r="Z161" i="2"/>
  <c r="Y25" i="2"/>
  <c r="Y182" i="2"/>
  <c r="Z108" i="2"/>
  <c r="Z21" i="2"/>
  <c r="Y61" i="2"/>
  <c r="Z118" i="2"/>
  <c r="Z29" i="2"/>
  <c r="Y158" i="2"/>
  <c r="Y64" i="2"/>
  <c r="Y62" i="2"/>
  <c r="Z174" i="2"/>
  <c r="Y100" i="2"/>
  <c r="Z46" i="2"/>
  <c r="Z129" i="2"/>
  <c r="Z66" i="2"/>
  <c r="Y93" i="2"/>
  <c r="Z18" i="2"/>
  <c r="Z33" i="2"/>
  <c r="Z185" i="2"/>
  <c r="Z127" i="2"/>
  <c r="Y143" i="2"/>
  <c r="Z104" i="2"/>
  <c r="Z112" i="2"/>
  <c r="Y43" i="2"/>
  <c r="Y121" i="2"/>
  <c r="Y98" i="2"/>
  <c r="Z148" i="2"/>
  <c r="Y50" i="2"/>
  <c r="Z146" i="2"/>
  <c r="Y40" i="2"/>
  <c r="Y157" i="2"/>
  <c r="Z166" i="2"/>
  <c r="Z122" i="2"/>
  <c r="Z115" i="2"/>
  <c r="Z84" i="2"/>
  <c r="Y18" i="2"/>
  <c r="Z136" i="2"/>
  <c r="Y72" i="2"/>
  <c r="Z32" i="2"/>
  <c r="Y47" i="2"/>
  <c r="Y34" i="2"/>
  <c r="Z131" i="2"/>
  <c r="Z28" i="2"/>
  <c r="Z65" i="2"/>
  <c r="Z81" i="2"/>
  <c r="Y7" i="2"/>
  <c r="Z116" i="2"/>
  <c r="Y90" i="2"/>
  <c r="Z120" i="2"/>
  <c r="Y164" i="2"/>
  <c r="Y79" i="2"/>
  <c r="Y52" i="2"/>
  <c r="Z93" i="2"/>
  <c r="Y136" i="2"/>
  <c r="Y21" i="2"/>
  <c r="Y69" i="2"/>
  <c r="Y32" i="2"/>
  <c r="Z172" i="2"/>
  <c r="Y82" i="2"/>
  <c r="Z137" i="2"/>
  <c r="Y84" i="2"/>
  <c r="Y139" i="2"/>
  <c r="Y135" i="2"/>
  <c r="Z69" i="2"/>
  <c r="Z97" i="2"/>
  <c r="Y12" i="2"/>
  <c r="Y180" i="2"/>
  <c r="Y81" i="2"/>
  <c r="Y95" i="2"/>
  <c r="Z57" i="2"/>
  <c r="Z41" i="2"/>
  <c r="Y13" i="2"/>
  <c r="Y122" i="2"/>
  <c r="Y104" i="2"/>
  <c r="Z132" i="2"/>
  <c r="Y132" i="2"/>
  <c r="Z76" i="2"/>
  <c r="Y205" i="2"/>
  <c r="Y41" i="2"/>
  <c r="Y77" i="2"/>
  <c r="Y70" i="2"/>
  <c r="Z38" i="2"/>
  <c r="Z151" i="2"/>
  <c r="Y6" i="2"/>
  <c r="Y130" i="2"/>
  <c r="Z70" i="2"/>
  <c r="Z111" i="2"/>
  <c r="Z58" i="2"/>
  <c r="Z17" i="2"/>
  <c r="Z88" i="2"/>
  <c r="Y68" i="2"/>
  <c r="Y26" i="2"/>
  <c r="Z101" i="2"/>
  <c r="Z90" i="2"/>
  <c r="Y76" i="2"/>
  <c r="Y124" i="2"/>
  <c r="Y170" i="2"/>
  <c r="Y201" i="2"/>
  <c r="Y29" i="2"/>
  <c r="Y144" i="2"/>
  <c r="Z27" i="2"/>
  <c r="Z162" i="2"/>
  <c r="Y53" i="2"/>
  <c r="Y110" i="2"/>
  <c r="Z133" i="2"/>
  <c r="Y138" i="2"/>
  <c r="Y78" i="2"/>
  <c r="Z67" i="2"/>
  <c r="Y156" i="2"/>
  <c r="Z52" i="2"/>
  <c r="Y148" i="2"/>
  <c r="Z25" i="2"/>
  <c r="Z202" i="2"/>
  <c r="Y189" i="2"/>
  <c r="Y36" i="2"/>
  <c r="Y92" i="2"/>
  <c r="Z135" i="2"/>
  <c r="Y168" i="2"/>
  <c r="Y46" i="2"/>
  <c r="Y59" i="2"/>
  <c r="Y178" i="2"/>
  <c r="Y127" i="2"/>
  <c r="Y51" i="2"/>
  <c r="Y145" i="2"/>
  <c r="Z153" i="2"/>
  <c r="Y96" i="2"/>
  <c r="Z168" i="2"/>
  <c r="Z119" i="2"/>
  <c r="Y15" i="2"/>
  <c r="Y197" i="2"/>
  <c r="Y147" i="2"/>
  <c r="Y17" i="2"/>
  <c r="Y103" i="2"/>
  <c r="Y65" i="2"/>
  <c r="Y71" i="2"/>
  <c r="Y149" i="2"/>
  <c r="Z179" i="2"/>
  <c r="Y128" i="2"/>
  <c r="Y33" i="2"/>
  <c r="Z11" i="2"/>
  <c r="Y89" i="2"/>
  <c r="Z109" i="2"/>
  <c r="Y11" i="2"/>
  <c r="Z155" i="2"/>
  <c r="Y125" i="2"/>
  <c r="Z44" i="2"/>
  <c r="Z56" i="2"/>
  <c r="Y107" i="2"/>
  <c r="Y123" i="2"/>
  <c r="Z167" i="2"/>
  <c r="Y146" i="2"/>
  <c r="Z30" i="2"/>
  <c r="Y102" i="2"/>
  <c r="Z95" i="2"/>
  <c r="Z72" i="2"/>
  <c r="Y153" i="2"/>
  <c r="Z117" i="2"/>
  <c r="Y184" i="2"/>
  <c r="Z42" i="2"/>
  <c r="X94" i="2"/>
  <c r="W35" i="2"/>
  <c r="W99" i="2"/>
  <c r="X37" i="2"/>
  <c r="W204" i="2"/>
  <c r="X156" i="2"/>
  <c r="W74" i="2"/>
  <c r="W20" i="2"/>
  <c r="X199" i="2"/>
  <c r="W45" i="2"/>
  <c r="X171" i="2"/>
  <c r="X12" i="2"/>
  <c r="X147" i="2"/>
  <c r="X107" i="2"/>
  <c r="W55" i="2"/>
  <c r="X180" i="2"/>
  <c r="X175" i="2"/>
  <c r="W129" i="2"/>
  <c r="X83" i="2"/>
  <c r="W83" i="2"/>
  <c r="X64" i="2"/>
  <c r="W112" i="2"/>
  <c r="X184" i="2"/>
  <c r="X7" i="2"/>
  <c r="W97" i="2"/>
  <c r="W58" i="2"/>
  <c r="W160" i="2"/>
  <c r="X113" i="2"/>
  <c r="W159" i="2"/>
  <c r="X124" i="2"/>
  <c r="X23" i="2"/>
  <c r="X8" i="2"/>
  <c r="W88" i="2"/>
  <c r="X100" i="2"/>
  <c r="W30" i="2"/>
  <c r="X181" i="2"/>
  <c r="X26" i="2"/>
  <c r="X82" i="2"/>
  <c r="X59" i="2"/>
  <c r="W193" i="2"/>
  <c r="X39" i="2"/>
  <c r="X74" i="2"/>
  <c r="W106" i="2"/>
  <c r="X193" i="2"/>
  <c r="X191" i="2"/>
  <c r="X176" i="2"/>
  <c r="X139" i="2"/>
  <c r="W117" i="2"/>
  <c r="X205" i="2"/>
  <c r="W192" i="2"/>
  <c r="X194" i="2"/>
  <c r="W86" i="2"/>
  <c r="X158" i="2"/>
  <c r="X121" i="2"/>
  <c r="W113" i="2"/>
  <c r="X31" i="2"/>
  <c r="X157" i="2"/>
  <c r="W150" i="2"/>
  <c r="X130" i="2"/>
  <c r="W19" i="2"/>
  <c r="W120" i="2"/>
  <c r="W183" i="2"/>
  <c r="X92" i="2"/>
  <c r="X36" i="2"/>
  <c r="W131" i="2"/>
  <c r="W176" i="2"/>
  <c r="W8" i="2"/>
  <c r="X110" i="2"/>
  <c r="W37" i="2"/>
  <c r="X189" i="2"/>
  <c r="X143" i="2"/>
  <c r="X98" i="2"/>
  <c r="X173" i="2"/>
  <c r="X43" i="2"/>
  <c r="W24" i="2"/>
  <c r="W166" i="2"/>
  <c r="W108" i="2"/>
  <c r="X192" i="2"/>
  <c r="X73" i="2"/>
  <c r="W133" i="2"/>
  <c r="W199" i="2"/>
  <c r="W56" i="2"/>
  <c r="W177" i="2"/>
  <c r="W155" i="2"/>
  <c r="X78" i="2"/>
  <c r="X160" i="2"/>
  <c r="X86" i="2"/>
  <c r="W185" i="2"/>
  <c r="X187" i="2"/>
  <c r="X159" i="2"/>
  <c r="X63" i="2"/>
  <c r="W114" i="2"/>
  <c r="X138" i="2"/>
  <c r="X20" i="2"/>
  <c r="X99" i="2"/>
  <c r="X6" i="2"/>
  <c r="W27" i="2"/>
  <c r="X142" i="2"/>
  <c r="X15" i="2"/>
  <c r="W169" i="2"/>
  <c r="W10" i="2"/>
  <c r="X126" i="2"/>
  <c r="W151" i="2"/>
  <c r="W39" i="2"/>
  <c r="X87" i="2"/>
  <c r="X182" i="2"/>
  <c r="X141" i="2"/>
  <c r="W175" i="2"/>
  <c r="W80" i="2"/>
  <c r="X85" i="2"/>
  <c r="X150" i="2"/>
  <c r="W142" i="2"/>
  <c r="X89" i="2"/>
  <c r="W54" i="2"/>
  <c r="W172" i="2"/>
  <c r="X16" i="2"/>
  <c r="W119" i="2"/>
  <c r="W188" i="2"/>
  <c r="W75" i="2"/>
  <c r="W57" i="2"/>
  <c r="X188" i="2"/>
  <c r="W14" i="2"/>
  <c r="X152" i="2"/>
  <c r="W109" i="2"/>
  <c r="X134" i="2"/>
  <c r="W154" i="2"/>
  <c r="W22" i="2"/>
  <c r="X34" i="2"/>
  <c r="X48" i="2"/>
  <c r="X10" i="2"/>
  <c r="X106" i="2"/>
  <c r="W87" i="2"/>
  <c r="X164" i="2"/>
  <c r="W111" i="2"/>
  <c r="W101" i="2"/>
  <c r="X177" i="2"/>
  <c r="X24" i="2"/>
  <c r="W9" i="2"/>
  <c r="W181" i="2"/>
  <c r="W191" i="2"/>
  <c r="X71" i="2"/>
  <c r="W16" i="2"/>
  <c r="X149" i="2"/>
  <c r="X49" i="2"/>
  <c r="X200" i="2"/>
  <c r="W163" i="2"/>
  <c r="X68" i="2"/>
  <c r="W140" i="2"/>
  <c r="W85" i="2"/>
  <c r="X55" i="2"/>
  <c r="W165" i="2"/>
  <c r="W42" i="2"/>
  <c r="W49" i="2"/>
  <c r="X80" i="2"/>
  <c r="X163" i="2"/>
  <c r="W28" i="2"/>
  <c r="W38" i="2"/>
  <c r="W194" i="2"/>
  <c r="X47" i="2"/>
  <c r="W195" i="2"/>
  <c r="X53" i="2"/>
  <c r="X9" i="2"/>
  <c r="X96" i="2"/>
  <c r="W115" i="2"/>
  <c r="X51" i="2"/>
  <c r="W203" i="2"/>
  <c r="W171" i="2"/>
  <c r="W167" i="2"/>
  <c r="W162" i="2"/>
  <c r="W31" i="2"/>
  <c r="X40" i="2"/>
  <c r="W67" i="2"/>
  <c r="W73" i="2"/>
  <c r="X195" i="2"/>
  <c r="W126" i="2"/>
  <c r="X61" i="2"/>
  <c r="X102" i="2"/>
  <c r="X204" i="2"/>
  <c r="X154" i="2"/>
  <c r="X14" i="2"/>
  <c r="X201" i="2"/>
  <c r="X13" i="2"/>
  <c r="W23" i="2"/>
  <c r="X62" i="2"/>
  <c r="X128" i="2"/>
  <c r="X190" i="2"/>
  <c r="X105" i="2"/>
  <c r="W174" i="2"/>
  <c r="W63" i="2"/>
  <c r="W66" i="2"/>
  <c r="X125" i="2"/>
  <c r="W141" i="2"/>
  <c r="X79" i="2"/>
  <c r="W134" i="2"/>
  <c r="X203" i="2"/>
  <c r="X75" i="2"/>
  <c r="W118" i="2"/>
  <c r="X169" i="2"/>
  <c r="X165" i="2"/>
  <c r="W198" i="2"/>
  <c r="X103" i="2"/>
  <c r="W94" i="2"/>
  <c r="X183" i="2"/>
  <c r="W200" i="2"/>
  <c r="W116" i="2"/>
  <c r="W137" i="2"/>
  <c r="W44" i="2"/>
  <c r="X54" i="2"/>
  <c r="X35" i="2"/>
  <c r="W196" i="2"/>
  <c r="W173" i="2"/>
  <c r="X50" i="2"/>
  <c r="X198" i="2"/>
  <c r="W186" i="2"/>
  <c r="X178" i="2"/>
  <c r="X22" i="2"/>
  <c r="W161" i="2"/>
  <c r="X170" i="2"/>
  <c r="W48" i="2"/>
  <c r="X77" i="2"/>
  <c r="W187" i="2"/>
  <c r="X45" i="2"/>
  <c r="W105" i="2"/>
  <c r="X144" i="2"/>
  <c r="X114" i="2"/>
  <c r="X123" i="2"/>
  <c r="X19" i="2"/>
  <c r="X91" i="2"/>
  <c r="W60" i="2"/>
  <c r="W190" i="2"/>
  <c r="X186" i="2"/>
  <c r="W202" i="2"/>
  <c r="X196" i="2"/>
  <c r="W91" i="2"/>
  <c r="X60" i="2"/>
  <c r="W152" i="2"/>
  <c r="X140" i="2"/>
  <c r="W179" i="2"/>
  <c r="X197" i="2"/>
  <c r="X145" i="2"/>
  <c r="X161" i="2"/>
  <c r="W25" i="2"/>
  <c r="W182" i="2"/>
  <c r="X108" i="2"/>
  <c r="X21" i="2"/>
  <c r="W61" i="2"/>
  <c r="X118" i="2"/>
  <c r="X29" i="2"/>
  <c r="W158" i="2"/>
  <c r="W64" i="2"/>
  <c r="W62" i="2"/>
  <c r="X174" i="2"/>
  <c r="W100" i="2"/>
  <c r="X46" i="2"/>
  <c r="X129" i="2"/>
  <c r="X66" i="2"/>
  <c r="W93" i="2"/>
  <c r="X18" i="2"/>
  <c r="X33" i="2"/>
  <c r="X185" i="2"/>
  <c r="X127" i="2"/>
  <c r="W143" i="2"/>
  <c r="X104" i="2"/>
  <c r="X112" i="2"/>
  <c r="W43" i="2"/>
  <c r="W121" i="2"/>
  <c r="W98" i="2"/>
  <c r="X148" i="2"/>
  <c r="W50" i="2"/>
  <c r="X146" i="2"/>
  <c r="W40" i="2"/>
  <c r="W157" i="2"/>
  <c r="X166" i="2"/>
  <c r="X122" i="2"/>
  <c r="X115" i="2"/>
  <c r="X84" i="2"/>
  <c r="W18" i="2"/>
  <c r="X136" i="2"/>
  <c r="W72" i="2"/>
  <c r="X32" i="2"/>
  <c r="W47" i="2"/>
  <c r="W34" i="2"/>
  <c r="X131" i="2"/>
  <c r="X28" i="2"/>
  <c r="X65" i="2"/>
  <c r="X81" i="2"/>
  <c r="W7" i="2"/>
  <c r="X116" i="2"/>
  <c r="W90" i="2"/>
  <c r="X120" i="2"/>
  <c r="W164" i="2"/>
  <c r="W79" i="2"/>
  <c r="W52" i="2"/>
  <c r="X93" i="2"/>
  <c r="W136" i="2"/>
  <c r="W21" i="2"/>
  <c r="W69" i="2"/>
  <c r="W32" i="2"/>
  <c r="X172" i="2"/>
  <c r="W82" i="2"/>
  <c r="X137" i="2"/>
  <c r="W84" i="2"/>
  <c r="W139" i="2"/>
  <c r="W135" i="2"/>
  <c r="X69" i="2"/>
  <c r="X97" i="2"/>
  <c r="W12" i="2"/>
  <c r="W180" i="2"/>
  <c r="W81" i="2"/>
  <c r="W95" i="2"/>
  <c r="X57" i="2"/>
  <c r="X41" i="2"/>
  <c r="W13" i="2"/>
  <c r="W122" i="2"/>
  <c r="W104" i="2"/>
  <c r="X132" i="2"/>
  <c r="W132" i="2"/>
  <c r="X76" i="2"/>
  <c r="W205" i="2"/>
  <c r="W41" i="2"/>
  <c r="W77" i="2"/>
  <c r="W70" i="2"/>
  <c r="X38" i="2"/>
  <c r="X151" i="2"/>
  <c r="W6" i="2"/>
  <c r="W130" i="2"/>
  <c r="X70" i="2"/>
  <c r="X111" i="2"/>
  <c r="X58" i="2"/>
  <c r="X17" i="2"/>
  <c r="X88" i="2"/>
  <c r="W68" i="2"/>
  <c r="W26" i="2"/>
  <c r="X101" i="2"/>
  <c r="X90" i="2"/>
  <c r="W76" i="2"/>
  <c r="W124" i="2"/>
  <c r="W170" i="2"/>
  <c r="W201" i="2"/>
  <c r="W29" i="2"/>
  <c r="W144" i="2"/>
  <c r="X27" i="2"/>
  <c r="X162" i="2"/>
  <c r="W53" i="2"/>
  <c r="W110" i="2"/>
  <c r="X133" i="2"/>
  <c r="W138" i="2"/>
  <c r="W78" i="2"/>
  <c r="X67" i="2"/>
  <c r="W156" i="2"/>
  <c r="X52" i="2"/>
  <c r="W148" i="2"/>
  <c r="X25" i="2"/>
  <c r="X202" i="2"/>
  <c r="W189" i="2"/>
  <c r="W36" i="2"/>
  <c r="W92" i="2"/>
  <c r="X135" i="2"/>
  <c r="W168" i="2"/>
  <c r="W46" i="2"/>
  <c r="W59" i="2"/>
  <c r="W178" i="2"/>
  <c r="W127" i="2"/>
  <c r="W51" i="2"/>
  <c r="W145" i="2"/>
  <c r="X153" i="2"/>
  <c r="W96" i="2"/>
  <c r="X168" i="2"/>
  <c r="X119" i="2"/>
  <c r="W15" i="2"/>
  <c r="W197" i="2"/>
  <c r="W147" i="2"/>
  <c r="W17" i="2"/>
  <c r="W103" i="2"/>
  <c r="W65" i="2"/>
  <c r="W71" i="2"/>
  <c r="W149" i="2"/>
  <c r="X179" i="2"/>
  <c r="W128" i="2"/>
  <c r="W33" i="2"/>
  <c r="X11" i="2"/>
  <c r="W89" i="2"/>
  <c r="X109" i="2"/>
  <c r="W11" i="2"/>
  <c r="X155" i="2"/>
  <c r="W125" i="2"/>
  <c r="X44" i="2"/>
  <c r="X56" i="2"/>
  <c r="W107" i="2"/>
  <c r="W123" i="2"/>
  <c r="X167" i="2"/>
  <c r="W146" i="2"/>
  <c r="X30" i="2"/>
  <c r="W102" i="2"/>
  <c r="X95" i="2"/>
  <c r="X72" i="2"/>
  <c r="W153" i="2"/>
  <c r="X117" i="2"/>
  <c r="W184" i="2"/>
  <c r="X42" i="2"/>
  <c r="V94" i="2"/>
  <c r="U35" i="2"/>
  <c r="U99" i="2"/>
  <c r="V37" i="2"/>
  <c r="U204" i="2"/>
  <c r="V156" i="2"/>
  <c r="U74" i="2"/>
  <c r="U20" i="2"/>
  <c r="V199" i="2"/>
  <c r="U45" i="2"/>
  <c r="V171" i="2"/>
  <c r="V12" i="2"/>
  <c r="V147" i="2"/>
  <c r="V107" i="2"/>
  <c r="U55" i="2"/>
  <c r="V180" i="2"/>
  <c r="V175" i="2"/>
  <c r="U129" i="2"/>
  <c r="V83" i="2"/>
  <c r="U83" i="2"/>
  <c r="V64" i="2"/>
  <c r="U112" i="2"/>
  <c r="V184" i="2"/>
  <c r="V7" i="2"/>
  <c r="U97" i="2"/>
  <c r="U58" i="2"/>
  <c r="U160" i="2"/>
  <c r="V113" i="2"/>
  <c r="U159" i="2"/>
  <c r="V124" i="2"/>
  <c r="V23" i="2"/>
  <c r="V8" i="2"/>
  <c r="U88" i="2"/>
  <c r="V100" i="2"/>
  <c r="U30" i="2"/>
  <c r="V181" i="2"/>
  <c r="V26" i="2"/>
  <c r="V82" i="2"/>
  <c r="V59" i="2"/>
  <c r="U193" i="2"/>
  <c r="V39" i="2"/>
  <c r="V74" i="2"/>
  <c r="U106" i="2"/>
  <c r="V193" i="2"/>
  <c r="V191" i="2"/>
  <c r="V176" i="2"/>
  <c r="V139" i="2"/>
  <c r="U117" i="2"/>
  <c r="V205" i="2"/>
  <c r="U192" i="2"/>
  <c r="V194" i="2"/>
  <c r="U86" i="2"/>
  <c r="V158" i="2"/>
  <c r="V121" i="2"/>
  <c r="U113" i="2"/>
  <c r="V31" i="2"/>
  <c r="V157" i="2"/>
  <c r="U150" i="2"/>
  <c r="V130" i="2"/>
  <c r="U19" i="2"/>
  <c r="U120" i="2"/>
  <c r="U183" i="2"/>
  <c r="V92" i="2"/>
  <c r="V36" i="2"/>
  <c r="U131" i="2"/>
  <c r="U176" i="2"/>
  <c r="U8" i="2"/>
  <c r="V110" i="2"/>
  <c r="U37" i="2"/>
  <c r="V189" i="2"/>
  <c r="V143" i="2"/>
  <c r="V98" i="2"/>
  <c r="V173" i="2"/>
  <c r="V43" i="2"/>
  <c r="U24" i="2"/>
  <c r="U166" i="2"/>
  <c r="U108" i="2"/>
  <c r="V192" i="2"/>
  <c r="V73" i="2"/>
  <c r="U133" i="2"/>
  <c r="U199" i="2"/>
  <c r="U56" i="2"/>
  <c r="U177" i="2"/>
  <c r="U155" i="2"/>
  <c r="V78" i="2"/>
  <c r="V160" i="2"/>
  <c r="V86" i="2"/>
  <c r="U185" i="2"/>
  <c r="V187" i="2"/>
  <c r="V159" i="2"/>
  <c r="V63" i="2"/>
  <c r="U114" i="2"/>
  <c r="V138" i="2"/>
  <c r="V20" i="2"/>
  <c r="V99" i="2"/>
  <c r="V6" i="2"/>
  <c r="U27" i="2"/>
  <c r="V142" i="2"/>
  <c r="V15" i="2"/>
  <c r="U169" i="2"/>
  <c r="U10" i="2"/>
  <c r="V126" i="2"/>
  <c r="U151" i="2"/>
  <c r="U39" i="2"/>
  <c r="V87" i="2"/>
  <c r="V182" i="2"/>
  <c r="V141" i="2"/>
  <c r="U175" i="2"/>
  <c r="U80" i="2"/>
  <c r="V85" i="2"/>
  <c r="V150" i="2"/>
  <c r="U142" i="2"/>
  <c r="V89" i="2"/>
  <c r="U54" i="2"/>
  <c r="U172" i="2"/>
  <c r="V16" i="2"/>
  <c r="U119" i="2"/>
  <c r="U188" i="2"/>
  <c r="U75" i="2"/>
  <c r="U57" i="2"/>
  <c r="V188" i="2"/>
  <c r="U14" i="2"/>
  <c r="V152" i="2"/>
  <c r="U109" i="2"/>
  <c r="V134" i="2"/>
  <c r="U154" i="2"/>
  <c r="U22" i="2"/>
  <c r="V34" i="2"/>
  <c r="V48" i="2"/>
  <c r="V10" i="2"/>
  <c r="V106" i="2"/>
  <c r="U87" i="2"/>
  <c r="V164" i="2"/>
  <c r="U111" i="2"/>
  <c r="U101" i="2"/>
  <c r="V177" i="2"/>
  <c r="V24" i="2"/>
  <c r="U9" i="2"/>
  <c r="U181" i="2"/>
  <c r="U191" i="2"/>
  <c r="V71" i="2"/>
  <c r="U16" i="2"/>
  <c r="V149" i="2"/>
  <c r="V49" i="2"/>
  <c r="V200" i="2"/>
  <c r="U163" i="2"/>
  <c r="V68" i="2"/>
  <c r="U140" i="2"/>
  <c r="U85" i="2"/>
  <c r="V55" i="2"/>
  <c r="U165" i="2"/>
  <c r="U42" i="2"/>
  <c r="U49" i="2"/>
  <c r="V80" i="2"/>
  <c r="V163" i="2"/>
  <c r="U28" i="2"/>
  <c r="U38" i="2"/>
  <c r="U194" i="2"/>
  <c r="V47" i="2"/>
  <c r="U195" i="2"/>
  <c r="V53" i="2"/>
  <c r="V9" i="2"/>
  <c r="V96" i="2"/>
  <c r="U115" i="2"/>
  <c r="V51" i="2"/>
  <c r="U203" i="2"/>
  <c r="U171" i="2"/>
  <c r="U167" i="2"/>
  <c r="U162" i="2"/>
  <c r="U31" i="2"/>
  <c r="V40" i="2"/>
  <c r="U67" i="2"/>
  <c r="U73" i="2"/>
  <c r="V195" i="2"/>
  <c r="U126" i="2"/>
  <c r="V61" i="2"/>
  <c r="V102" i="2"/>
  <c r="V204" i="2"/>
  <c r="V154" i="2"/>
  <c r="V14" i="2"/>
  <c r="V201" i="2"/>
  <c r="V13" i="2"/>
  <c r="U23" i="2"/>
  <c r="V62" i="2"/>
  <c r="V128" i="2"/>
  <c r="V190" i="2"/>
  <c r="V105" i="2"/>
  <c r="U174" i="2"/>
  <c r="U63" i="2"/>
  <c r="U66" i="2"/>
  <c r="V125" i="2"/>
  <c r="U141" i="2"/>
  <c r="V79" i="2"/>
  <c r="U134" i="2"/>
  <c r="V203" i="2"/>
  <c r="V75" i="2"/>
  <c r="U118" i="2"/>
  <c r="V169" i="2"/>
  <c r="V165" i="2"/>
  <c r="U198" i="2"/>
  <c r="V103" i="2"/>
  <c r="U94" i="2"/>
  <c r="V183" i="2"/>
  <c r="U200" i="2"/>
  <c r="U116" i="2"/>
  <c r="U137" i="2"/>
  <c r="U44" i="2"/>
  <c r="V54" i="2"/>
  <c r="V35" i="2"/>
  <c r="U196" i="2"/>
  <c r="U173" i="2"/>
  <c r="V50" i="2"/>
  <c r="V198" i="2"/>
  <c r="U186" i="2"/>
  <c r="V178" i="2"/>
  <c r="V22" i="2"/>
  <c r="U161" i="2"/>
  <c r="V170" i="2"/>
  <c r="U48" i="2"/>
  <c r="V77" i="2"/>
  <c r="U187" i="2"/>
  <c r="V45" i="2"/>
  <c r="U105" i="2"/>
  <c r="V144" i="2"/>
  <c r="V114" i="2"/>
  <c r="V123" i="2"/>
  <c r="V19" i="2"/>
  <c r="V91" i="2"/>
  <c r="U60" i="2"/>
  <c r="U190" i="2"/>
  <c r="V186" i="2"/>
  <c r="U202" i="2"/>
  <c r="V196" i="2"/>
  <c r="U91" i="2"/>
  <c r="V60" i="2"/>
  <c r="U152" i="2"/>
  <c r="V140" i="2"/>
  <c r="U179" i="2"/>
  <c r="V197" i="2"/>
  <c r="V145" i="2"/>
  <c r="V161" i="2"/>
  <c r="U25" i="2"/>
  <c r="U182" i="2"/>
  <c r="V108" i="2"/>
  <c r="V21" i="2"/>
  <c r="U61" i="2"/>
  <c r="V118" i="2"/>
  <c r="V29" i="2"/>
  <c r="U158" i="2"/>
  <c r="U64" i="2"/>
  <c r="U62" i="2"/>
  <c r="V174" i="2"/>
  <c r="U100" i="2"/>
  <c r="V46" i="2"/>
  <c r="V129" i="2"/>
  <c r="V66" i="2"/>
  <c r="U93" i="2"/>
  <c r="V18" i="2"/>
  <c r="V33" i="2"/>
  <c r="V185" i="2"/>
  <c r="V127" i="2"/>
  <c r="U143" i="2"/>
  <c r="V104" i="2"/>
  <c r="V112" i="2"/>
  <c r="U43" i="2"/>
  <c r="U121" i="2"/>
  <c r="U98" i="2"/>
  <c r="V148" i="2"/>
  <c r="U50" i="2"/>
  <c r="V146" i="2"/>
  <c r="U40" i="2"/>
  <c r="U157" i="2"/>
  <c r="V166" i="2"/>
  <c r="V122" i="2"/>
  <c r="V115" i="2"/>
  <c r="V84" i="2"/>
  <c r="U18" i="2"/>
  <c r="V136" i="2"/>
  <c r="U72" i="2"/>
  <c r="V32" i="2"/>
  <c r="U47" i="2"/>
  <c r="U34" i="2"/>
  <c r="V131" i="2"/>
  <c r="V28" i="2"/>
  <c r="V65" i="2"/>
  <c r="V81" i="2"/>
  <c r="U7" i="2"/>
  <c r="V116" i="2"/>
  <c r="U90" i="2"/>
  <c r="V120" i="2"/>
  <c r="U164" i="2"/>
  <c r="U79" i="2"/>
  <c r="U52" i="2"/>
  <c r="V93" i="2"/>
  <c r="U136" i="2"/>
  <c r="U21" i="2"/>
  <c r="U69" i="2"/>
  <c r="U32" i="2"/>
  <c r="V172" i="2"/>
  <c r="U82" i="2"/>
  <c r="V137" i="2"/>
  <c r="U84" i="2"/>
  <c r="U139" i="2"/>
  <c r="U135" i="2"/>
  <c r="V69" i="2"/>
  <c r="V97" i="2"/>
  <c r="U12" i="2"/>
  <c r="U180" i="2"/>
  <c r="U81" i="2"/>
  <c r="U95" i="2"/>
  <c r="V57" i="2"/>
  <c r="V41" i="2"/>
  <c r="U13" i="2"/>
  <c r="U122" i="2"/>
  <c r="U104" i="2"/>
  <c r="V132" i="2"/>
  <c r="U132" i="2"/>
  <c r="V76" i="2"/>
  <c r="U205" i="2"/>
  <c r="U41" i="2"/>
  <c r="U77" i="2"/>
  <c r="U70" i="2"/>
  <c r="V38" i="2"/>
  <c r="V151" i="2"/>
  <c r="U6" i="2"/>
  <c r="U130" i="2"/>
  <c r="V70" i="2"/>
  <c r="V111" i="2"/>
  <c r="V58" i="2"/>
  <c r="V17" i="2"/>
  <c r="V88" i="2"/>
  <c r="U68" i="2"/>
  <c r="U26" i="2"/>
  <c r="V101" i="2"/>
  <c r="V90" i="2"/>
  <c r="U76" i="2"/>
  <c r="U124" i="2"/>
  <c r="U170" i="2"/>
  <c r="U201" i="2"/>
  <c r="U29" i="2"/>
  <c r="U144" i="2"/>
  <c r="V27" i="2"/>
  <c r="V162" i="2"/>
  <c r="U53" i="2"/>
  <c r="U110" i="2"/>
  <c r="V133" i="2"/>
  <c r="U138" i="2"/>
  <c r="U78" i="2"/>
  <c r="V67" i="2"/>
  <c r="U156" i="2"/>
  <c r="V52" i="2"/>
  <c r="U148" i="2"/>
  <c r="V25" i="2"/>
  <c r="V202" i="2"/>
  <c r="U189" i="2"/>
  <c r="U36" i="2"/>
  <c r="U92" i="2"/>
  <c r="V135" i="2"/>
  <c r="U168" i="2"/>
  <c r="U46" i="2"/>
  <c r="U59" i="2"/>
  <c r="U178" i="2"/>
  <c r="U127" i="2"/>
  <c r="U51" i="2"/>
  <c r="U145" i="2"/>
  <c r="V153" i="2"/>
  <c r="U96" i="2"/>
  <c r="V168" i="2"/>
  <c r="V119" i="2"/>
  <c r="U15" i="2"/>
  <c r="U197" i="2"/>
  <c r="U147" i="2"/>
  <c r="U17" i="2"/>
  <c r="U103" i="2"/>
  <c r="U65" i="2"/>
  <c r="U71" i="2"/>
  <c r="U149" i="2"/>
  <c r="V179" i="2"/>
  <c r="U128" i="2"/>
  <c r="U33" i="2"/>
  <c r="V11" i="2"/>
  <c r="U89" i="2"/>
  <c r="V109" i="2"/>
  <c r="U11" i="2"/>
  <c r="V155" i="2"/>
  <c r="U125" i="2"/>
  <c r="V44" i="2"/>
  <c r="V56" i="2"/>
  <c r="U107" i="2"/>
  <c r="U123" i="2"/>
  <c r="V167" i="2"/>
  <c r="U146" i="2"/>
  <c r="V30" i="2"/>
  <c r="U102" i="2"/>
  <c r="V95" i="2"/>
  <c r="V72" i="2"/>
  <c r="U153" i="2"/>
  <c r="V117" i="2"/>
  <c r="U184" i="2"/>
  <c r="V42" i="2"/>
  <c r="T202" i="2" l="1"/>
  <c r="T120" i="2"/>
  <c r="T123" i="2"/>
  <c r="T204" i="2"/>
  <c r="S14" i="2"/>
  <c r="S176" i="2"/>
  <c r="S45" i="2"/>
  <c r="S110" i="2"/>
  <c r="S90" i="2"/>
  <c r="T161" i="2"/>
  <c r="T128" i="2"/>
  <c r="T24" i="2"/>
  <c r="T173" i="2"/>
  <c r="T199" i="2"/>
  <c r="T17" i="2"/>
  <c r="T122" i="2"/>
  <c r="S94" i="2"/>
  <c r="S192" i="2"/>
  <c r="T119" i="2"/>
  <c r="S69" i="2"/>
  <c r="T79" i="2"/>
  <c r="T48" i="2"/>
  <c r="S88" i="2"/>
  <c r="S146" i="2"/>
  <c r="S11" i="2"/>
  <c r="S71" i="2"/>
  <c r="T168" i="2"/>
  <c r="S46" i="2"/>
  <c r="S148" i="2"/>
  <c r="S53" i="2"/>
  <c r="S76" i="2"/>
  <c r="T111" i="2"/>
  <c r="S41" i="2"/>
  <c r="T41" i="2"/>
  <c r="S135" i="2"/>
  <c r="S21" i="2"/>
  <c r="T116" i="2"/>
  <c r="T32" i="2"/>
  <c r="S157" i="2"/>
  <c r="T112" i="2"/>
  <c r="T66" i="2"/>
  <c r="T29" i="2"/>
  <c r="T145" i="2"/>
  <c r="S202" i="2"/>
  <c r="T144" i="2"/>
  <c r="T22" i="2"/>
  <c r="T54" i="2"/>
  <c r="S198" i="2"/>
  <c r="S141" i="2"/>
  <c r="T62" i="2"/>
  <c r="T61" i="2"/>
  <c r="S167" i="2"/>
  <c r="S195" i="2"/>
  <c r="S42" i="2"/>
  <c r="T49" i="2"/>
  <c r="T177" i="2"/>
  <c r="T34" i="2"/>
  <c r="S57" i="2"/>
  <c r="S142" i="2"/>
  <c r="S39" i="2"/>
  <c r="T6" i="2"/>
  <c r="S185" i="2"/>
  <c r="S133" i="2"/>
  <c r="T98" i="2"/>
  <c r="T36" i="2"/>
  <c r="T31" i="2"/>
  <c r="S117" i="2"/>
  <c r="S193" i="2"/>
  <c r="T8" i="2"/>
  <c r="T7" i="2"/>
  <c r="T180" i="2"/>
  <c r="S20" i="2"/>
  <c r="T42" i="2"/>
  <c r="T179" i="2"/>
  <c r="T133" i="2"/>
  <c r="T97" i="2"/>
  <c r="T18" i="2"/>
  <c r="T170" i="2"/>
  <c r="S31" i="2"/>
  <c r="T10" i="2"/>
  <c r="S56" i="2"/>
  <c r="S58" i="2"/>
  <c r="T30" i="2"/>
  <c r="S124" i="2"/>
  <c r="T166" i="2"/>
  <c r="T114" i="2"/>
  <c r="T102" i="2"/>
  <c r="T188" i="2"/>
  <c r="S199" i="2"/>
  <c r="S97" i="2"/>
  <c r="S184" i="2"/>
  <c r="T167" i="2"/>
  <c r="T109" i="2"/>
  <c r="S65" i="2"/>
  <c r="S96" i="2"/>
  <c r="S168" i="2"/>
  <c r="T52" i="2"/>
  <c r="T162" i="2"/>
  <c r="T90" i="2"/>
  <c r="T70" i="2"/>
  <c r="S205" i="2"/>
  <c r="T57" i="2"/>
  <c r="S139" i="2"/>
  <c r="S136" i="2"/>
  <c r="S72" i="2"/>
  <c r="S40" i="2"/>
  <c r="T104" i="2"/>
  <c r="T129" i="2"/>
  <c r="T118" i="2"/>
  <c r="T197" i="2"/>
  <c r="T186" i="2"/>
  <c r="S105" i="2"/>
  <c r="T178" i="2"/>
  <c r="S44" i="2"/>
  <c r="T165" i="2"/>
  <c r="T125" i="2"/>
  <c r="S23" i="2"/>
  <c r="S126" i="2"/>
  <c r="S171" i="2"/>
  <c r="T47" i="2"/>
  <c r="S165" i="2"/>
  <c r="T149" i="2"/>
  <c r="S101" i="2"/>
  <c r="S22" i="2"/>
  <c r="S75" i="2"/>
  <c r="T150" i="2"/>
  <c r="S151" i="2"/>
  <c r="T99" i="2"/>
  <c r="T86" i="2"/>
  <c r="T73" i="2"/>
  <c r="T143" i="2"/>
  <c r="T92" i="2"/>
  <c r="S113" i="2"/>
  <c r="T139" i="2"/>
  <c r="T59" i="2"/>
  <c r="T23" i="2"/>
  <c r="T184" i="2"/>
  <c r="S55" i="2"/>
  <c r="S74" i="2"/>
  <c r="S15" i="2"/>
  <c r="S70" i="2"/>
  <c r="S34" i="2"/>
  <c r="S25" i="2"/>
  <c r="S134" i="2"/>
  <c r="T80" i="2"/>
  <c r="T159" i="2"/>
  <c r="T74" i="2"/>
  <c r="S59" i="2"/>
  <c r="S13" i="2"/>
  <c r="S93" i="2"/>
  <c r="T35" i="2"/>
  <c r="S49" i="2"/>
  <c r="S27" i="2"/>
  <c r="T205" i="2"/>
  <c r="T117" i="2"/>
  <c r="S123" i="2"/>
  <c r="S89" i="2"/>
  <c r="S103" i="2"/>
  <c r="T153" i="2"/>
  <c r="T135" i="2"/>
  <c r="S156" i="2"/>
  <c r="T27" i="2"/>
  <c r="T101" i="2"/>
  <c r="S130" i="2"/>
  <c r="T76" i="2"/>
  <c r="S95" i="2"/>
  <c r="S84" i="2"/>
  <c r="T93" i="2"/>
  <c r="T81" i="2"/>
  <c r="T136" i="2"/>
  <c r="T146" i="2"/>
  <c r="S143" i="2"/>
  <c r="T46" i="2"/>
  <c r="S61" i="2"/>
  <c r="S179" i="2"/>
  <c r="S190" i="2"/>
  <c r="T45" i="2"/>
  <c r="S186" i="2"/>
  <c r="S137" i="2"/>
  <c r="T169" i="2"/>
  <c r="S66" i="2"/>
  <c r="T13" i="2"/>
  <c r="T195" i="2"/>
  <c r="S203" i="2"/>
  <c r="S194" i="2"/>
  <c r="T55" i="2"/>
  <c r="S16" i="2"/>
  <c r="S111" i="2"/>
  <c r="S154" i="2"/>
  <c r="S188" i="2"/>
  <c r="T85" i="2"/>
  <c r="T126" i="2"/>
  <c r="T20" i="2"/>
  <c r="T160" i="2"/>
  <c r="T192" i="2"/>
  <c r="T189" i="2"/>
  <c r="S183" i="2"/>
  <c r="T121" i="2"/>
  <c r="T176" i="2"/>
  <c r="T82" i="2"/>
  <c r="T124" i="2"/>
  <c r="S112" i="2"/>
  <c r="T107" i="2"/>
  <c r="T156" i="2"/>
  <c r="T182" i="2"/>
  <c r="S150" i="2"/>
  <c r="S35" i="2"/>
  <c r="S149" i="2"/>
  <c r="S77" i="2"/>
  <c r="S47" i="2"/>
  <c r="T196" i="2"/>
  <c r="S162" i="2"/>
  <c r="T89" i="2"/>
  <c r="T157" i="2"/>
  <c r="T94" i="2"/>
  <c r="S153" i="2"/>
  <c r="S107" i="2"/>
  <c r="T11" i="2"/>
  <c r="S17" i="2"/>
  <c r="S145" i="2"/>
  <c r="S92" i="2"/>
  <c r="T67" i="2"/>
  <c r="S144" i="2"/>
  <c r="S26" i="2"/>
  <c r="S132" i="2"/>
  <c r="S81" i="2"/>
  <c r="T137" i="2"/>
  <c r="S52" i="2"/>
  <c r="T65" i="2"/>
  <c r="S18" i="2"/>
  <c r="S50" i="2"/>
  <c r="T127" i="2"/>
  <c r="S100" i="2"/>
  <c r="T21" i="2"/>
  <c r="T140" i="2"/>
  <c r="S60" i="2"/>
  <c r="S187" i="2"/>
  <c r="T198" i="2"/>
  <c r="S116" i="2"/>
  <c r="S118" i="2"/>
  <c r="S63" i="2"/>
  <c r="T201" i="2"/>
  <c r="S73" i="2"/>
  <c r="T51" i="2"/>
  <c r="S38" i="2"/>
  <c r="S85" i="2"/>
  <c r="T71" i="2"/>
  <c r="T164" i="2"/>
  <c r="T134" i="2"/>
  <c r="S119" i="2"/>
  <c r="S80" i="2"/>
  <c r="S10" i="2"/>
  <c r="T138" i="2"/>
  <c r="T78" i="2"/>
  <c r="S108" i="2"/>
  <c r="S37" i="2"/>
  <c r="S120" i="2"/>
  <c r="T158" i="2"/>
  <c r="T191" i="2"/>
  <c r="T26" i="2"/>
  <c r="S159" i="2"/>
  <c r="T64" i="2"/>
  <c r="T147" i="2"/>
  <c r="S204" i="2"/>
  <c r="S102" i="2"/>
  <c r="S170" i="2"/>
  <c r="S32" i="2"/>
  <c r="S64" i="2"/>
  <c r="S196" i="2"/>
  <c r="T9" i="2"/>
  <c r="T142" i="2"/>
  <c r="T100" i="2"/>
  <c r="T25" i="2"/>
  <c r="T69" i="2"/>
  <c r="S158" i="2"/>
  <c r="T103" i="2"/>
  <c r="T200" i="2"/>
  <c r="T187" i="2"/>
  <c r="T39" i="2"/>
  <c r="T72" i="2"/>
  <c r="S147" i="2"/>
  <c r="S36" i="2"/>
  <c r="S29" i="2"/>
  <c r="T151" i="2"/>
  <c r="S82" i="2"/>
  <c r="T28" i="2"/>
  <c r="T148" i="2"/>
  <c r="T174" i="2"/>
  <c r="S152" i="2"/>
  <c r="T50" i="2"/>
  <c r="T75" i="2"/>
  <c r="T14" i="2"/>
  <c r="S115" i="2"/>
  <c r="S28" i="2"/>
  <c r="S191" i="2"/>
  <c r="S87" i="2"/>
  <c r="S109" i="2"/>
  <c r="T16" i="2"/>
  <c r="S175" i="2"/>
  <c r="S169" i="2"/>
  <c r="S155" i="2"/>
  <c r="S166" i="2"/>
  <c r="T110" i="2"/>
  <c r="S19" i="2"/>
  <c r="S86" i="2"/>
  <c r="T193" i="2"/>
  <c r="T181" i="2"/>
  <c r="T113" i="2"/>
  <c r="S83" i="2"/>
  <c r="T12" i="2"/>
  <c r="T37" i="2"/>
  <c r="S125" i="2"/>
  <c r="S178" i="2"/>
  <c r="S122" i="2"/>
  <c r="S121" i="2"/>
  <c r="S91" i="2"/>
  <c r="T190" i="2"/>
  <c r="S163" i="2"/>
  <c r="S54" i="2"/>
  <c r="T43" i="2"/>
  <c r="S129" i="2"/>
  <c r="T155" i="2"/>
  <c r="T58" i="2"/>
  <c r="S43" i="2"/>
  <c r="S161" i="2"/>
  <c r="T53" i="2"/>
  <c r="T87" i="2"/>
  <c r="S131" i="2"/>
  <c r="T175" i="2"/>
  <c r="T56" i="2"/>
  <c r="S33" i="2"/>
  <c r="S51" i="2"/>
  <c r="S78" i="2"/>
  <c r="S68" i="2"/>
  <c r="T132" i="2"/>
  <c r="S180" i="2"/>
  <c r="S79" i="2"/>
  <c r="T84" i="2"/>
  <c r="T185" i="2"/>
  <c r="T108" i="2"/>
  <c r="T91" i="2"/>
  <c r="T77" i="2"/>
  <c r="S200" i="2"/>
  <c r="S174" i="2"/>
  <c r="S67" i="2"/>
  <c r="S140" i="2"/>
  <c r="S114" i="2"/>
  <c r="T95" i="2"/>
  <c r="T44" i="2"/>
  <c r="S128" i="2"/>
  <c r="S197" i="2"/>
  <c r="S127" i="2"/>
  <c r="S189" i="2"/>
  <c r="S138" i="2"/>
  <c r="S201" i="2"/>
  <c r="T88" i="2"/>
  <c r="T38" i="2"/>
  <c r="S104" i="2"/>
  <c r="S12" i="2"/>
  <c r="T172" i="2"/>
  <c r="S164" i="2"/>
  <c r="T131" i="2"/>
  <c r="T115" i="2"/>
  <c r="S98" i="2"/>
  <c r="T33" i="2"/>
  <c r="S62" i="2"/>
  <c r="S182" i="2"/>
  <c r="T60" i="2"/>
  <c r="T19" i="2"/>
  <c r="S48" i="2"/>
  <c r="S173" i="2"/>
  <c r="T183" i="2"/>
  <c r="T203" i="2"/>
  <c r="T105" i="2"/>
  <c r="T154" i="2"/>
  <c r="T40" i="2"/>
  <c r="T96" i="2"/>
  <c r="T163" i="2"/>
  <c r="T68" i="2"/>
  <c r="S181" i="2"/>
  <c r="T106" i="2"/>
  <c r="T152" i="2"/>
  <c r="S172" i="2"/>
  <c r="T141" i="2"/>
  <c r="T15" i="2"/>
  <c r="T63" i="2"/>
  <c r="S177" i="2"/>
  <c r="S24" i="2"/>
  <c r="S8" i="2"/>
  <c r="T130" i="2"/>
  <c r="T194" i="2"/>
  <c r="S106" i="2"/>
  <c r="S30" i="2"/>
  <c r="S160" i="2"/>
  <c r="T83" i="2"/>
  <c r="T171" i="2"/>
  <c r="S99" i="2"/>
  <c r="P8" i="2"/>
  <c r="P9" i="2"/>
  <c r="P7" i="2"/>
  <c r="P5" i="2"/>
  <c r="O9" i="2"/>
  <c r="O8" i="2"/>
  <c r="O7" i="2"/>
  <c r="O5" i="2"/>
  <c r="Q8" i="2" l="1"/>
  <c r="Q6" i="2"/>
  <c r="Q9" i="2"/>
  <c r="Q7" i="2"/>
  <c r="Q5" i="2"/>
</calcChain>
</file>

<file path=xl/sharedStrings.xml><?xml version="1.0" encoding="utf-8"?>
<sst xmlns="http://schemas.openxmlformats.org/spreadsheetml/2006/main" count="1852" uniqueCount="110">
  <si>
    <t>Household Characteristics</t>
  </si>
  <si>
    <t>Difference</t>
  </si>
  <si>
    <t>t-test</t>
  </si>
  <si>
    <t>Health expenditures(US$ yearly per capita)</t>
  </si>
  <si>
    <t>Head of Household's age(years)</t>
  </si>
  <si>
    <t>Spouse's age(years)</t>
  </si>
  <si>
    <t>Head of household's education (years)</t>
  </si>
  <si>
    <t>Spouse's education(years)</t>
  </si>
  <si>
    <t>Head of Household is female=1</t>
  </si>
  <si>
    <t>Indigenious=1</t>
  </si>
  <si>
    <t>Number of Household members</t>
  </si>
  <si>
    <t>Has dirt floor=1</t>
  </si>
  <si>
    <t>Has bathroom=1</t>
  </si>
  <si>
    <t>Hectares of land</t>
  </si>
  <si>
    <t>Distance to hospital(km)</t>
  </si>
  <si>
    <t>Treatment group(n=2964)</t>
  </si>
  <si>
    <t>Comparison group(n=2664)</t>
  </si>
  <si>
    <t>Household ID</t>
  </si>
  <si>
    <t>Household_Size</t>
  </si>
  <si>
    <t>Current Water Source</t>
  </si>
  <si>
    <t>Distance to Health facility</t>
  </si>
  <si>
    <t>Village</t>
  </si>
  <si>
    <t>Monthly_Household_Income</t>
  </si>
  <si>
    <t>Baseline Data of Evaluation Sample</t>
  </si>
  <si>
    <t>Annual Health Expenditure</t>
  </si>
  <si>
    <t>Time to collect Water</t>
  </si>
  <si>
    <t>Random No.</t>
  </si>
  <si>
    <t>Treatment</t>
  </si>
  <si>
    <t>Treatment Group</t>
  </si>
  <si>
    <t>Comparison Group</t>
  </si>
  <si>
    <t>Control</t>
  </si>
  <si>
    <t>Treatment Income</t>
  </si>
  <si>
    <t>Control Income</t>
  </si>
  <si>
    <t>Treatment ANE</t>
  </si>
  <si>
    <t>Control-ANE</t>
  </si>
  <si>
    <t>TRG- Time</t>
  </si>
  <si>
    <t>GTG-Time</t>
  </si>
  <si>
    <t>TRG- Distance</t>
  </si>
  <si>
    <t>CTr-Distance</t>
  </si>
  <si>
    <t>t-Test: Two-Sample Assuming Equal Variances</t>
  </si>
  <si>
    <t>Mean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</si>
  <si>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</si>
  <si>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</si>
  <si>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</si>
  <si>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</si>
  <si>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</si>
  <si>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</si>
  <si>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</si>
  <si>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</si>
  <si>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</si>
  <si>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</si>
  <si>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Control Group Income</t>
  </si>
  <si>
    <t xml:space="preserve">t-Test: Two-Sample of Monthly incomes Treatment and Control groups </t>
  </si>
  <si>
    <t>Control ANE</t>
  </si>
  <si>
    <t>Treatment KM</t>
  </si>
  <si>
    <t>Control KM</t>
  </si>
  <si>
    <t>Treatment- Time</t>
  </si>
  <si>
    <t>Control- Time</t>
  </si>
  <si>
    <t>Monthly Income</t>
  </si>
  <si>
    <t>Health Expenditure</t>
  </si>
  <si>
    <t>Time used to collect water</t>
  </si>
  <si>
    <t>Endline Data of Evaluation Sample</t>
  </si>
  <si>
    <t>Kiserian</t>
  </si>
  <si>
    <t xml:space="preserve"> Oloitoktok A</t>
  </si>
  <si>
    <t>Namanga</t>
  </si>
  <si>
    <t>Oloitoktok B</t>
  </si>
  <si>
    <t>Rainwater</t>
  </si>
  <si>
    <t>River</t>
  </si>
  <si>
    <t>Borehole</t>
  </si>
  <si>
    <t>Vendor</t>
  </si>
  <si>
    <t>Sample Mean</t>
  </si>
  <si>
    <t>Sample mean</t>
  </si>
  <si>
    <t>Monthly Household Income</t>
  </si>
  <si>
    <t>Time spent  to collect water</t>
  </si>
  <si>
    <t>Endline t-Test Analysis</t>
  </si>
  <si>
    <t>SUMMARY OUTPUT</t>
  </si>
  <si>
    <t>Regression Statistics</t>
  </si>
  <si>
    <t>Multiple R</t>
  </si>
  <si>
    <t>R Square</t>
  </si>
  <si>
    <t>Adjusted R Square</t>
  </si>
  <si>
    <t>Standard Error</t>
  </si>
  <si>
    <t>ANOVA</t>
  </si>
  <si>
    <t>Regression</t>
  </si>
  <si>
    <t>Residual</t>
  </si>
  <si>
    <t>Total</t>
  </si>
  <si>
    <t>Intercept</t>
  </si>
  <si>
    <t>SS</t>
  </si>
  <si>
    <t>MS</t>
  </si>
  <si>
    <t>F</t>
  </si>
  <si>
    <t>Significance F</t>
  </si>
  <si>
    <t>Coefficients</t>
  </si>
  <si>
    <t>P-value</t>
  </si>
  <si>
    <t>Lower 95%</t>
  </si>
  <si>
    <t>Upper 95%</t>
  </si>
  <si>
    <t>Lower 95.0%</t>
  </si>
  <si>
    <t>Upper 95.0%</t>
  </si>
  <si>
    <t>Baseline</t>
  </si>
  <si>
    <t>Endline</t>
  </si>
  <si>
    <t xml:space="preserve">Household Monthly Income </t>
  </si>
  <si>
    <t>Time spent to collect water</t>
  </si>
  <si>
    <t>Time</t>
  </si>
  <si>
    <t>Treatment income</t>
  </si>
  <si>
    <t>Treatment Health Expenditure</t>
  </si>
  <si>
    <t>Control Health expenditure</t>
  </si>
  <si>
    <t>Treatment Time to collect water</t>
  </si>
  <si>
    <t>Control- Time  to collect water</t>
  </si>
  <si>
    <t>Household_income</t>
  </si>
  <si>
    <t>Time_spent to collect water</t>
  </si>
  <si>
    <t>Linear regression</t>
  </si>
  <si>
    <t>Multivariat Regression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</si>
</sst>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0.00000E+0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2F2F2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3" borderId="1" applyNumberFormat="0" applyAlignment="0" applyProtection="0"/>
  </cellStyleXfs>
  <cellXfs count="24">
    <xf numFmtId="0" fontId="0" fillId="0" borderId="0" xfId="0"/>
    <xf numFmtId="0" fontId="1" fillId="2" borderId="0" xfId="0" applyFont="1" applyFill="1"/>
    <xf numFmtId="0" fontId="4" fillId="0" borderId="0" xfId="0" applyFont="1"/>
    <xf numFmtId="0" fontId="4" fillId="4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43" fontId="0" fillId="0" borderId="0" xfId="1" applyFont="1"/>
    <xf numFmtId="43" fontId="0" fillId="0" borderId="0" xfId="0" applyNumberFormat="1"/>
    <xf numFmtId="0" fontId="3" fillId="3" borderId="1" xfId="2"/>
    <xf numFmtId="43" fontId="3" fillId="3" borderId="1" xfId="2" applyNumberFormat="1"/>
    <xf numFmtId="0" fontId="0" fillId="0" borderId="0" xfId="0" applyFill="1" applyBorder="1" applyAlignment="1"/>
    <xf numFmtId="0" fontId="0" fillId="0" borderId="2" xfId="0" applyFill="1" applyBorder="1" applyAlignment="1"/>
    <xf numFmtId="0" fontId="5" fillId="0" borderId="3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7" fillId="0" borderId="0" xfId="0" applyFont="1" applyFill="1" applyBorder="1" applyAlignment="1"/>
    <xf numFmtId="0" fontId="7" fillId="0" borderId="2" xfId="0" applyFont="1" applyFill="1" applyBorder="1" applyAlignment="1"/>
    <xf numFmtId="43" fontId="0" fillId="0" borderId="0" xfId="1" applyFont="1" applyFill="1" applyBorder="1" applyAlignment="1"/>
    <xf numFmtId="0" fontId="6" fillId="0" borderId="0" xfId="0" applyFont="1"/>
    <xf numFmtId="0" fontId="4" fillId="4" borderId="0" xfId="0" applyFont="1" applyFill="1" applyAlignment="1">
      <alignment horizontal="center"/>
    </xf>
    <xf numFmtId="43" fontId="0" fillId="0" borderId="2" xfId="1" applyFont="1" applyFill="1" applyBorder="1" applyAlignment="1"/>
    <xf numFmtId="0" fontId="5" fillId="0" borderId="3" xfId="0" applyFont="1" applyFill="1" applyBorder="1" applyAlignment="1">
      <alignment horizontal="centerContinuous"/>
    </xf>
    <xf numFmtId="0" fontId="6" fillId="0" borderId="3" xfId="0" applyFont="1" applyFill="1" applyBorder="1" applyAlignment="1">
      <alignment horizontal="centerContinuous"/>
    </xf>
    <xf numFmtId="0" fontId="7" fillId="0" borderId="3" xfId="0" applyFont="1" applyFill="1" applyBorder="1" applyAlignment="1">
      <alignment horizontal="centerContinuous"/>
    </xf>
    <xf numFmtId="0" fontId="4" fillId="0" borderId="0" xfId="0" applyFont="1" applyAlignment="1">
      <alignment vertical="top" wrapText="1"/>
    </xf>
    <xf numFmtId="166" fontId="0" fillId="0" borderId="2" xfId="0" applyNumberFormat="1" applyFill="1" applyBorder="1" applyAlignment="1"/>
  </cellXfs>
  <cellStyles count="3">
    <cellStyle name="Calculation" xfId="2" builtinId="22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4"/>
  <sheetViews>
    <sheetView workbookViewId="0">
      <selection activeCell="A24" sqref="A24"/>
    </sheetView>
  </sheetViews>
  <sheetFormatPr defaultRowHeight="14.4" x14ac:dyDescent="0.3"/>
  <cols>
    <col min="1" max="1" width="40.21875" customWidth="1"/>
    <col min="3" max="3" width="37.5546875" customWidth="1"/>
    <col min="4" max="4" width="21.6640625" customWidth="1"/>
    <col min="5" max="5" width="22.109375" customWidth="1"/>
    <col min="6" max="6" width="14.6640625" customWidth="1"/>
  </cols>
  <sheetData>
    <row r="2" spans="1:5" x14ac:dyDescent="0.3">
      <c r="A2" s="1" t="s">
        <v>0</v>
      </c>
      <c r="B2" s="1" t="s">
        <v>15</v>
      </c>
      <c r="C2" s="1" t="s">
        <v>16</v>
      </c>
      <c r="D2" s="1" t="s">
        <v>1</v>
      </c>
      <c r="E2" s="1" t="s">
        <v>2</v>
      </c>
    </row>
    <row r="3" spans="1:5" x14ac:dyDescent="0.3">
      <c r="A3" t="s">
        <v>3</v>
      </c>
      <c r="B3">
        <v>14.49</v>
      </c>
      <c r="C3">
        <v>14.57</v>
      </c>
      <c r="D3">
        <v>-0.08</v>
      </c>
      <c r="E3">
        <v>-0.73</v>
      </c>
    </row>
    <row r="4" spans="1:5" x14ac:dyDescent="0.3">
      <c r="A4" t="s">
        <v>4</v>
      </c>
      <c r="B4">
        <v>41.66</v>
      </c>
      <c r="C4">
        <v>42.29</v>
      </c>
      <c r="D4">
        <v>-0.64</v>
      </c>
      <c r="E4">
        <v>-1.69</v>
      </c>
    </row>
    <row r="5" spans="1:5" x14ac:dyDescent="0.3">
      <c r="A5" t="s">
        <v>5</v>
      </c>
      <c r="B5">
        <v>36.840000000000003</v>
      </c>
      <c r="C5">
        <v>36.880000000000003</v>
      </c>
      <c r="D5">
        <v>0.04</v>
      </c>
      <c r="E5">
        <v>0.12</v>
      </c>
    </row>
    <row r="6" spans="1:5" x14ac:dyDescent="0.3">
      <c r="A6" t="s">
        <v>6</v>
      </c>
      <c r="B6">
        <v>2.97</v>
      </c>
      <c r="C6">
        <v>2.81</v>
      </c>
      <c r="D6">
        <v>0.16</v>
      </c>
      <c r="E6">
        <v>2.2999999999999998</v>
      </c>
    </row>
    <row r="7" spans="1:5" x14ac:dyDescent="0.3">
      <c r="A7" t="s">
        <v>7</v>
      </c>
      <c r="B7">
        <v>2.7</v>
      </c>
      <c r="C7">
        <v>2.67</v>
      </c>
      <c r="D7">
        <v>0.03</v>
      </c>
      <c r="E7">
        <v>0.43</v>
      </c>
    </row>
    <row r="8" spans="1:5" x14ac:dyDescent="0.3">
      <c r="A8" t="s">
        <v>8</v>
      </c>
      <c r="B8">
        <v>7.0000000000000007E-2</v>
      </c>
      <c r="C8">
        <v>0.08</v>
      </c>
      <c r="D8">
        <v>-0.01</v>
      </c>
      <c r="E8">
        <v>-0.57999999999999996</v>
      </c>
    </row>
    <row r="9" spans="1:5" x14ac:dyDescent="0.3">
      <c r="A9" t="s">
        <v>9</v>
      </c>
      <c r="B9">
        <v>0.43</v>
      </c>
      <c r="C9">
        <v>0.42</v>
      </c>
      <c r="D9">
        <v>0.01</v>
      </c>
      <c r="E9">
        <v>0.69</v>
      </c>
    </row>
    <row r="10" spans="1:5" x14ac:dyDescent="0.3">
      <c r="A10" t="s">
        <v>10</v>
      </c>
      <c r="B10">
        <v>5.77</v>
      </c>
      <c r="C10">
        <v>5.71</v>
      </c>
      <c r="D10">
        <v>0.06</v>
      </c>
      <c r="E10">
        <v>1.1200000000000001</v>
      </c>
    </row>
    <row r="11" spans="1:5" x14ac:dyDescent="0.3">
      <c r="A11" t="s">
        <v>11</v>
      </c>
      <c r="B11">
        <v>0.72</v>
      </c>
      <c r="C11">
        <v>0.73</v>
      </c>
      <c r="D11">
        <v>-0.01</v>
      </c>
      <c r="E11">
        <v>-1.0900000000000001</v>
      </c>
    </row>
    <row r="12" spans="1:5" x14ac:dyDescent="0.3">
      <c r="A12" t="s">
        <v>12</v>
      </c>
      <c r="B12">
        <v>0.56999999999999995</v>
      </c>
      <c r="C12">
        <v>0.56000000000000005</v>
      </c>
      <c r="D12">
        <v>0.01</v>
      </c>
      <c r="E12">
        <v>1.04</v>
      </c>
    </row>
    <row r="13" spans="1:5" x14ac:dyDescent="0.3">
      <c r="A13" t="s">
        <v>13</v>
      </c>
      <c r="B13">
        <v>1.68</v>
      </c>
      <c r="C13">
        <v>1.72</v>
      </c>
      <c r="D13">
        <v>-0.04</v>
      </c>
      <c r="E13">
        <v>-0.56999999999999995</v>
      </c>
    </row>
    <row r="14" spans="1:5" x14ac:dyDescent="0.3">
      <c r="A14" t="s">
        <v>14</v>
      </c>
      <c r="B14">
        <v>109.2</v>
      </c>
      <c r="C14">
        <v>106.29</v>
      </c>
      <c r="D14">
        <v>2.91</v>
      </c>
      <c r="E14">
        <v>2.57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4A4D9-6E69-4641-A7CF-C9CE520DACB1}">
  <dimension ref="A2:AN406"/>
  <sheetViews>
    <sheetView workbookViewId="0">
      <selection activeCell="O7" sqref="O7"/>
    </sheetView>
  </sheetViews>
  <sheetFormatPr defaultRowHeight="14.4" x14ac:dyDescent="0.3"/>
  <cols>
    <col min="1" max="1" width="14.44140625" customWidth="1"/>
    <col min="2" max="3" width="11.33203125" customWidth="1"/>
    <col min="4" max="4" width="10.109375" bestFit="1" customWidth="1"/>
    <col min="6" max="6" width="9.109375" bestFit="1" customWidth="1"/>
    <col min="13" max="13" width="11" customWidth="1"/>
    <col min="14" max="14" width="12.44140625" customWidth="1"/>
    <col min="15" max="15" width="16.33203125" customWidth="1"/>
    <col min="16" max="16" width="19.5546875" customWidth="1"/>
    <col min="19" max="19" width="18" customWidth="1"/>
    <col min="20" max="20" width="14.21875" customWidth="1"/>
    <col min="21" max="21" width="13.77734375" customWidth="1"/>
    <col min="22" max="22" width="13" customWidth="1"/>
  </cols>
  <sheetData>
    <row r="2" spans="1:26" x14ac:dyDescent="0.3">
      <c r="A2" s="3" t="s">
        <v>23</v>
      </c>
      <c r="B2" s="3"/>
      <c r="C2" s="3"/>
    </row>
    <row r="3" spans="1:26" x14ac:dyDescent="0.3">
      <c r="O3" s="2" t="s">
        <v>28</v>
      </c>
      <c r="P3" s="2" t="s">
        <v>29</v>
      </c>
      <c r="Q3" s="2" t="s">
        <v>1</v>
      </c>
    </row>
    <row r="4" spans="1:26" x14ac:dyDescent="0.3">
      <c r="O4" s="16" t="s">
        <v>70</v>
      </c>
      <c r="P4" s="16" t="s">
        <v>71</v>
      </c>
      <c r="Q4" s="2"/>
    </row>
    <row r="5" spans="1:26" x14ac:dyDescent="0.3">
      <c r="A5" s="4" t="s">
        <v>17</v>
      </c>
      <c r="B5" s="4" t="s">
        <v>21</v>
      </c>
      <c r="C5" t="s">
        <v>18</v>
      </c>
      <c r="D5" t="s">
        <v>22</v>
      </c>
      <c r="E5" t="s">
        <v>19</v>
      </c>
      <c r="F5" t="s">
        <v>24</v>
      </c>
      <c r="G5" t="s">
        <v>25</v>
      </c>
      <c r="H5" t="s">
        <v>20</v>
      </c>
      <c r="I5" t="s">
        <v>26</v>
      </c>
      <c r="J5" t="s">
        <v>27</v>
      </c>
      <c r="L5" s="7" t="str">
        <f>C5</f>
        <v>Household_Size</v>
      </c>
      <c r="M5" s="7"/>
      <c r="N5" s="7"/>
      <c r="O5" s="7">
        <f>AVERAGE(C6:C205)</f>
        <v>4.9800000000000004</v>
      </c>
      <c r="P5" s="7">
        <f>AVERAGE(C206:C405)</f>
        <v>5.2149999999999999</v>
      </c>
      <c r="Q5">
        <f>P5-O5</f>
        <v>0.23499999999999943</v>
      </c>
      <c r="S5" s="2" t="s">
        <v>31</v>
      </c>
      <c r="T5" s="2" t="s">
        <v>32</v>
      </c>
      <c r="U5" s="2" t="s">
        <v>33</v>
      </c>
      <c r="V5" s="2" t="s">
        <v>34</v>
      </c>
      <c r="W5" s="2" t="s">
        <v>35</v>
      </c>
      <c r="X5" s="2" t="s">
        <v>36</v>
      </c>
      <c r="Y5" s="2" t="s">
        <v>37</v>
      </c>
      <c r="Z5" s="2" t="s">
        <v>38</v>
      </c>
    </row>
    <row r="6" spans="1:26" x14ac:dyDescent="0.3">
      <c r="A6">
        <v>326</v>
      </c>
      <c r="B6" t="s">
        <v>63</v>
      </c>
      <c r="C6">
        <v>2</v>
      </c>
      <c r="D6" s="5">
        <v>17533</v>
      </c>
      <c r="E6" t="s">
        <v>68</v>
      </c>
      <c r="F6" s="5">
        <v>3387</v>
      </c>
      <c r="G6">
        <v>96</v>
      </c>
      <c r="H6">
        <v>14.1</v>
      </c>
      <c r="I6">
        <v>0.14715147167841336</v>
      </c>
      <c r="J6">
        <v>1</v>
      </c>
      <c r="L6" s="7" t="str">
        <f>D5</f>
        <v>Monthly_Household_Income</v>
      </c>
      <c r="M6" s="7"/>
      <c r="N6" s="7"/>
      <c r="O6" s="8">
        <f>AVERAGE(D6:D205)</f>
        <v>28408.134999999998</v>
      </c>
      <c r="P6" s="8">
        <f>AVERAGE(D206:D405)</f>
        <v>27962.044999999998</v>
      </c>
      <c r="Q6" s="6">
        <f>P6-O6</f>
        <v>-446.09000000000015</v>
      </c>
      <c r="S6" s="5">
        <f>IF($J6=1,D6,"")</f>
        <v>17533</v>
      </c>
      <c r="T6" s="5">
        <f>IF($J206=0, D206,"")</f>
        <v>23861</v>
      </c>
      <c r="U6" s="5">
        <f>IF($J6=1,F6,"")</f>
        <v>3387</v>
      </c>
      <c r="V6" s="5">
        <f>IF($J206=0,F206,"")</f>
        <v>5945</v>
      </c>
      <c r="W6" s="5">
        <f>IF($J6=1,G6,"")</f>
        <v>96</v>
      </c>
      <c r="X6">
        <f>IF($J206=0,G206,"")</f>
        <v>91</v>
      </c>
      <c r="Y6">
        <f>IF($J6=1,H6,"")</f>
        <v>14.1</v>
      </c>
      <c r="Z6">
        <f>IF($J206=0,H206,"")</f>
        <v>3.5</v>
      </c>
    </row>
    <row r="7" spans="1:26" x14ac:dyDescent="0.3">
      <c r="A7">
        <v>288</v>
      </c>
      <c r="B7" t="s">
        <v>63</v>
      </c>
      <c r="C7">
        <v>3</v>
      </c>
      <c r="D7" s="5">
        <v>28095</v>
      </c>
      <c r="E7" t="s">
        <v>66</v>
      </c>
      <c r="F7" s="5">
        <v>3285</v>
      </c>
      <c r="G7">
        <v>66</v>
      </c>
      <c r="H7">
        <v>8.5</v>
      </c>
      <c r="I7">
        <v>0.21625296981946651</v>
      </c>
      <c r="J7">
        <v>1</v>
      </c>
      <c r="L7" s="7" t="str">
        <f>F5</f>
        <v>Annual Health Expenditure</v>
      </c>
      <c r="M7" s="7"/>
      <c r="N7" s="7"/>
      <c r="O7" s="8">
        <f>AVERAGE(F6:F204)</f>
        <v>4730.1608040201008</v>
      </c>
      <c r="P7" s="8">
        <f>AVERAGE(F206:F405)</f>
        <v>4827.0649999999996</v>
      </c>
      <c r="Q7" s="6">
        <f>P7-O7</f>
        <v>96.904195979898759</v>
      </c>
      <c r="S7" s="5">
        <f>IF($J7=1,D7,"")</f>
        <v>28095</v>
      </c>
      <c r="T7" s="5">
        <f>IF($J207=0, D207,"")</f>
        <v>30323</v>
      </c>
      <c r="U7" s="5">
        <f>IF($J7=1,F7,"")</f>
        <v>3285</v>
      </c>
      <c r="V7" s="5">
        <f>IF($J207=0,F207,"")</f>
        <v>5395</v>
      </c>
      <c r="W7" s="5">
        <f>IF($J7=1,G7,"")</f>
        <v>66</v>
      </c>
      <c r="X7">
        <f>IF($J207=0,G207,"")</f>
        <v>29</v>
      </c>
      <c r="Y7">
        <f>IF($J7=1,H7,"")</f>
        <v>8.5</v>
      </c>
      <c r="Z7">
        <f>IF($J207=0,H207,"")</f>
        <v>6.7</v>
      </c>
    </row>
    <row r="8" spans="1:26" x14ac:dyDescent="0.3">
      <c r="A8">
        <v>68</v>
      </c>
      <c r="B8" t="s">
        <v>64</v>
      </c>
      <c r="C8">
        <v>7</v>
      </c>
      <c r="D8" s="5">
        <v>35172</v>
      </c>
      <c r="E8" t="s">
        <v>66</v>
      </c>
      <c r="F8" s="5">
        <v>6752</v>
      </c>
      <c r="G8">
        <v>42</v>
      </c>
      <c r="H8">
        <v>1.9</v>
      </c>
      <c r="I8">
        <v>0.87272994665282255</v>
      </c>
      <c r="J8">
        <v>1</v>
      </c>
      <c r="L8" s="7" t="str">
        <f>G5</f>
        <v>Time to collect Water</v>
      </c>
      <c r="M8" s="7"/>
      <c r="N8" s="7"/>
      <c r="O8" s="7">
        <f>AVERAGE(G6:G205)</f>
        <v>68.45</v>
      </c>
      <c r="P8" s="7">
        <f>AVERAGE(G206:G405)</f>
        <v>67.855000000000004</v>
      </c>
      <c r="Q8">
        <f>P8-O8</f>
        <v>-0.59499999999999886</v>
      </c>
      <c r="S8" s="5">
        <f>IF($J8=1,D8,"")</f>
        <v>35172</v>
      </c>
      <c r="T8" s="5">
        <f>IF($J208=0, D208,"")</f>
        <v>27664</v>
      </c>
      <c r="U8" s="5">
        <f>IF($J8=1,F8,"")</f>
        <v>6752</v>
      </c>
      <c r="V8" s="5">
        <f>IF($J208=0,F208,"")</f>
        <v>6942</v>
      </c>
      <c r="W8" s="5">
        <f>IF($J8=1,G8,"")</f>
        <v>42</v>
      </c>
      <c r="X8">
        <f>IF($J208=0,G208,"")</f>
        <v>60</v>
      </c>
      <c r="Y8">
        <f>IF($J8=1,H8,"")</f>
        <v>1.9</v>
      </c>
      <c r="Z8">
        <f>IF($J208=0,H208,"")</f>
        <v>11.2</v>
      </c>
    </row>
    <row r="9" spans="1:26" x14ac:dyDescent="0.3">
      <c r="A9">
        <v>139</v>
      </c>
      <c r="B9" t="s">
        <v>65</v>
      </c>
      <c r="C9">
        <v>8</v>
      </c>
      <c r="D9" s="5">
        <v>24958</v>
      </c>
      <c r="E9" t="s">
        <v>66</v>
      </c>
      <c r="F9" s="5">
        <v>4888</v>
      </c>
      <c r="G9">
        <v>64</v>
      </c>
      <c r="H9">
        <v>12.3</v>
      </c>
      <c r="I9">
        <v>0.43294112023399844</v>
      </c>
      <c r="J9">
        <v>1</v>
      </c>
      <c r="L9" s="7" t="str">
        <f>H5</f>
        <v>Distance to Health facility</v>
      </c>
      <c r="M9" s="7"/>
      <c r="N9" s="7"/>
      <c r="O9" s="7">
        <f>AVERAGE(H6:H205)</f>
        <v>8.1254999999999971</v>
      </c>
      <c r="P9" s="7">
        <f>AVERAGE(H206:H405)</f>
        <v>7.656500000000003</v>
      </c>
      <c r="Q9">
        <f>P9-O9</f>
        <v>-0.46899999999999409</v>
      </c>
      <c r="S9" s="5">
        <f>IF($J9=1,D9,"")</f>
        <v>24958</v>
      </c>
      <c r="T9" s="5">
        <f>IF($J209=0, D209,"")</f>
        <v>22468</v>
      </c>
      <c r="U9" s="5">
        <f>IF($J9=1,F9,"")</f>
        <v>4888</v>
      </c>
      <c r="V9" s="5">
        <f>IF($J209=0,F209,"")</f>
        <v>2752</v>
      </c>
      <c r="W9" s="5">
        <f>IF($J9=1,G9,"")</f>
        <v>64</v>
      </c>
      <c r="X9">
        <f>IF($J209=0,G209,"")</f>
        <v>50</v>
      </c>
      <c r="Y9">
        <f>IF($J9=1,H9,"")</f>
        <v>12.3</v>
      </c>
      <c r="Z9">
        <f>IF($J209=0,H209,"")</f>
        <v>13.9</v>
      </c>
    </row>
    <row r="10" spans="1:26" x14ac:dyDescent="0.3">
      <c r="A10">
        <v>102</v>
      </c>
      <c r="B10" t="s">
        <v>65</v>
      </c>
      <c r="C10">
        <v>4</v>
      </c>
      <c r="D10" s="5">
        <v>35107</v>
      </c>
      <c r="E10" t="s">
        <v>68</v>
      </c>
      <c r="F10" s="5">
        <v>5527</v>
      </c>
      <c r="G10">
        <v>20</v>
      </c>
      <c r="H10">
        <v>14.7</v>
      </c>
      <c r="I10">
        <v>0.66002777641024857</v>
      </c>
      <c r="J10">
        <v>1</v>
      </c>
      <c r="S10" s="5">
        <f>IF($J10=1,D10,"")</f>
        <v>35107</v>
      </c>
      <c r="T10" s="5">
        <f>IF($J210=0, D210,"")</f>
        <v>36674</v>
      </c>
      <c r="U10" s="5">
        <f>IF($J10=1,F10,"")</f>
        <v>5527</v>
      </c>
      <c r="V10" s="5">
        <f>IF($J210=0,F210,"")</f>
        <v>4730</v>
      </c>
      <c r="W10" s="5">
        <f>IF($J10=1,G10,"")</f>
        <v>20</v>
      </c>
      <c r="X10">
        <f>IF($J210=0,G210,"")</f>
        <v>113</v>
      </c>
      <c r="Y10">
        <f>IF($J10=1,H10,"")</f>
        <v>14.7</v>
      </c>
      <c r="Z10">
        <f>IF($J210=0,H210,"")</f>
        <v>7.2</v>
      </c>
    </row>
    <row r="11" spans="1:26" x14ac:dyDescent="0.3">
      <c r="A11">
        <v>385</v>
      </c>
      <c r="B11" t="s">
        <v>64</v>
      </c>
      <c r="C11">
        <v>4</v>
      </c>
      <c r="D11" s="5">
        <v>33442</v>
      </c>
      <c r="E11" t="s">
        <v>69</v>
      </c>
      <c r="F11" s="5">
        <v>4457</v>
      </c>
      <c r="G11">
        <v>92</v>
      </c>
      <c r="H11">
        <v>11.3</v>
      </c>
      <c r="I11">
        <v>0.79246542014028376</v>
      </c>
      <c r="J11">
        <v>1</v>
      </c>
      <c r="S11" s="5">
        <f>IF($J11=1,D11,"")</f>
        <v>33442</v>
      </c>
      <c r="T11" s="5">
        <f>IF($J211=0, D211,"")</f>
        <v>21108</v>
      </c>
      <c r="U11" s="5">
        <f>IF($J11=1,F11,"")</f>
        <v>4457</v>
      </c>
      <c r="V11" s="5">
        <f>IF($J211=0,F211,"")</f>
        <v>3739</v>
      </c>
      <c r="W11" s="5">
        <f>IF($J11=1,G11,"")</f>
        <v>92</v>
      </c>
      <c r="X11">
        <f>IF($J211=0,G211,"")</f>
        <v>58</v>
      </c>
      <c r="Y11">
        <f>IF($J11=1,H11,"")</f>
        <v>11.3</v>
      </c>
      <c r="Z11">
        <f>IF($J211=0,H211,"")</f>
        <v>10.4</v>
      </c>
    </row>
    <row r="12" spans="1:26" x14ac:dyDescent="0.3">
      <c r="A12">
        <v>308</v>
      </c>
      <c r="B12" t="s">
        <v>65</v>
      </c>
      <c r="C12">
        <v>2</v>
      </c>
      <c r="D12" s="5">
        <v>34829</v>
      </c>
      <c r="E12" t="s">
        <v>69</v>
      </c>
      <c r="F12" s="5">
        <v>4225</v>
      </c>
      <c r="G12">
        <v>60</v>
      </c>
      <c r="H12">
        <v>10.5</v>
      </c>
      <c r="I12">
        <v>0.27764315259795347</v>
      </c>
      <c r="J12">
        <v>1</v>
      </c>
      <c r="S12" s="5">
        <f>IF($J12=1,D12,"")</f>
        <v>34829</v>
      </c>
      <c r="T12" s="5">
        <f>IF($J212=0, D212,"")</f>
        <v>27803</v>
      </c>
      <c r="U12" s="5">
        <f>IF($J12=1,F12,"")</f>
        <v>4225</v>
      </c>
      <c r="V12" s="5">
        <f>IF($J212=0,F212,"")</f>
        <v>5478</v>
      </c>
      <c r="W12" s="5">
        <f>IF($J12=1,G12,"")</f>
        <v>60</v>
      </c>
      <c r="X12">
        <f>IF($J212=0,G212,"")</f>
        <v>120</v>
      </c>
      <c r="Y12">
        <f>IF($J12=1,H12,"")</f>
        <v>10.5</v>
      </c>
      <c r="Z12">
        <f>IF($J212=0,H212,"")</f>
        <v>14.2</v>
      </c>
    </row>
    <row r="13" spans="1:26" x14ac:dyDescent="0.3">
      <c r="A13">
        <v>314</v>
      </c>
      <c r="B13" t="s">
        <v>62</v>
      </c>
      <c r="C13">
        <v>3</v>
      </c>
      <c r="D13" s="5">
        <v>33149</v>
      </c>
      <c r="E13" t="s">
        <v>69</v>
      </c>
      <c r="F13" s="5">
        <v>2764</v>
      </c>
      <c r="G13">
        <v>70</v>
      </c>
      <c r="H13">
        <v>11.7</v>
      </c>
      <c r="I13">
        <v>0.74421108895835852</v>
      </c>
      <c r="J13">
        <v>1</v>
      </c>
      <c r="M13" s="6"/>
      <c r="S13" s="5">
        <f>IF($J13=1,D13,"")</f>
        <v>33149</v>
      </c>
      <c r="T13" s="5">
        <f>IF($J213=0, D213,"")</f>
        <v>37239</v>
      </c>
      <c r="U13" s="5">
        <f>IF($J13=1,F13,"")</f>
        <v>2764</v>
      </c>
      <c r="V13" s="5">
        <f>IF($J213=0,F213,"")</f>
        <v>7041</v>
      </c>
      <c r="W13" s="5">
        <f>IF($J13=1,G13,"")</f>
        <v>70</v>
      </c>
      <c r="X13">
        <f>IF($J213=0,G213,"")</f>
        <v>114</v>
      </c>
      <c r="Y13">
        <f>IF($J13=1,H13,"")</f>
        <v>11.7</v>
      </c>
      <c r="Z13">
        <f>IF($J213=0,H213,"")</f>
        <v>4.8</v>
      </c>
    </row>
    <row r="14" spans="1:26" x14ac:dyDescent="0.3">
      <c r="A14">
        <v>123</v>
      </c>
      <c r="B14" t="s">
        <v>62</v>
      </c>
      <c r="C14">
        <v>6</v>
      </c>
      <c r="D14" s="5">
        <v>24162</v>
      </c>
      <c r="E14" t="s">
        <v>66</v>
      </c>
      <c r="F14" s="5">
        <v>5668</v>
      </c>
      <c r="G14">
        <v>37</v>
      </c>
      <c r="H14">
        <v>13.7</v>
      </c>
      <c r="I14">
        <v>0.41983376548963891</v>
      </c>
      <c r="J14">
        <v>1</v>
      </c>
      <c r="M14" s="6"/>
      <c r="S14" s="5">
        <f>IF($J14=1,D14,"")</f>
        <v>24162</v>
      </c>
      <c r="T14" s="5">
        <f>IF($J214=0, D214,"")</f>
        <v>25603</v>
      </c>
      <c r="U14" s="5">
        <f>IF($J14=1,F14,"")</f>
        <v>5668</v>
      </c>
      <c r="V14" s="5">
        <f>IF($J214=0,F214,"")</f>
        <v>2757</v>
      </c>
      <c r="W14" s="5">
        <f>IF($J14=1,G14,"")</f>
        <v>37</v>
      </c>
      <c r="X14">
        <f>IF($J214=0,G214,"")</f>
        <v>26</v>
      </c>
      <c r="Y14">
        <f>IF($J14=1,H14,"")</f>
        <v>13.7</v>
      </c>
      <c r="Z14">
        <f>IF($J214=0,H214,"")</f>
        <v>10.199999999999999</v>
      </c>
    </row>
    <row r="15" spans="1:26" x14ac:dyDescent="0.3">
      <c r="A15">
        <v>371</v>
      </c>
      <c r="B15" t="s">
        <v>63</v>
      </c>
      <c r="C15">
        <v>7</v>
      </c>
      <c r="D15" s="5">
        <v>38929</v>
      </c>
      <c r="E15" t="s">
        <v>67</v>
      </c>
      <c r="F15" s="5">
        <v>4352</v>
      </c>
      <c r="G15">
        <v>44</v>
      </c>
      <c r="H15">
        <v>0.8</v>
      </c>
      <c r="I15">
        <v>0.42013241773603238</v>
      </c>
      <c r="J15">
        <v>1</v>
      </c>
      <c r="M15" s="6"/>
      <c r="S15" s="5">
        <f>IF($J15=1,D15,"")</f>
        <v>38929</v>
      </c>
      <c r="T15" s="5">
        <f>IF($J215=0, D215,"")</f>
        <v>18545</v>
      </c>
      <c r="U15" s="5">
        <f>IF($J15=1,F15,"")</f>
        <v>4352</v>
      </c>
      <c r="V15" s="5">
        <f>IF($J215=0,F215,"")</f>
        <v>5378</v>
      </c>
      <c r="W15" s="5">
        <f>IF($J15=1,G15,"")</f>
        <v>44</v>
      </c>
      <c r="X15">
        <f>IF($J215=0,G215,"")</f>
        <v>82</v>
      </c>
      <c r="Y15">
        <f>IF($J15=1,H15,"")</f>
        <v>0.8</v>
      </c>
      <c r="Z15">
        <f>IF($J215=0,H215,"")</f>
        <v>12.4</v>
      </c>
    </row>
    <row r="16" spans="1:26" x14ac:dyDescent="0.3">
      <c r="A16">
        <v>143</v>
      </c>
      <c r="B16" t="s">
        <v>62</v>
      </c>
      <c r="C16">
        <v>6</v>
      </c>
      <c r="D16" s="5">
        <v>37284</v>
      </c>
      <c r="E16" t="s">
        <v>69</v>
      </c>
      <c r="F16" s="5">
        <v>5229</v>
      </c>
      <c r="G16">
        <v>54</v>
      </c>
      <c r="H16">
        <v>2.1</v>
      </c>
      <c r="I16">
        <v>0.83446741417206571</v>
      </c>
      <c r="J16">
        <v>1</v>
      </c>
      <c r="M16" s="6"/>
      <c r="S16" s="5">
        <f>IF($J16=1,D16,"")</f>
        <v>37284</v>
      </c>
      <c r="T16" s="5">
        <f>IF($J216=0, D216,"")</f>
        <v>26672</v>
      </c>
      <c r="U16" s="5">
        <f>IF($J16=1,F16,"")</f>
        <v>5229</v>
      </c>
      <c r="V16" s="5">
        <f>IF($J216=0,F216,"")</f>
        <v>3678</v>
      </c>
      <c r="W16" s="5">
        <f>IF($J16=1,G16,"")</f>
        <v>54</v>
      </c>
      <c r="X16">
        <f>IF($J216=0,G216,"")</f>
        <v>101</v>
      </c>
      <c r="Y16">
        <f>IF($J16=1,H16,"")</f>
        <v>2.1</v>
      </c>
      <c r="Z16">
        <f>IF($J216=0,H216,"")</f>
        <v>5.4</v>
      </c>
    </row>
    <row r="17" spans="1:40" x14ac:dyDescent="0.3">
      <c r="A17">
        <v>374</v>
      </c>
      <c r="B17" t="s">
        <v>62</v>
      </c>
      <c r="C17">
        <v>2</v>
      </c>
      <c r="D17" s="5">
        <v>35310</v>
      </c>
      <c r="E17" t="s">
        <v>67</v>
      </c>
      <c r="F17" s="5">
        <v>2816</v>
      </c>
      <c r="G17">
        <v>82</v>
      </c>
      <c r="H17">
        <v>15</v>
      </c>
      <c r="I17">
        <v>0.95057998930171761</v>
      </c>
      <c r="J17">
        <v>1</v>
      </c>
      <c r="M17" s="6"/>
      <c r="S17" s="5">
        <f>IF($J17=1,D17,"")</f>
        <v>35310</v>
      </c>
      <c r="T17" s="5">
        <f>IF($J217=0, D217,"")</f>
        <v>23679</v>
      </c>
      <c r="U17" s="5">
        <f>IF($J17=1,F17,"")</f>
        <v>2816</v>
      </c>
      <c r="V17" s="5">
        <f>IF($J217=0,F217,"")</f>
        <v>5387</v>
      </c>
      <c r="W17" s="5">
        <f>IF($J17=1,G17,"")</f>
        <v>82</v>
      </c>
      <c r="X17">
        <f>IF($J217=0,G217,"")</f>
        <v>102</v>
      </c>
      <c r="Y17">
        <f>IF($J17=1,H17,"")</f>
        <v>15</v>
      </c>
      <c r="Z17">
        <f>IF($J217=0,H217,"")</f>
        <v>7.2</v>
      </c>
    </row>
    <row r="18" spans="1:40" x14ac:dyDescent="0.3">
      <c r="A18">
        <v>278</v>
      </c>
      <c r="B18" t="s">
        <v>64</v>
      </c>
      <c r="C18">
        <v>4</v>
      </c>
      <c r="D18" s="5">
        <v>30840</v>
      </c>
      <c r="E18" t="s">
        <v>69</v>
      </c>
      <c r="F18" s="5">
        <v>5551</v>
      </c>
      <c r="G18">
        <v>63</v>
      </c>
      <c r="H18">
        <v>7.2</v>
      </c>
      <c r="I18">
        <v>3.1957229520352404E-2</v>
      </c>
      <c r="J18">
        <v>1</v>
      </c>
      <c r="M18" s="6"/>
      <c r="S18" s="5">
        <f>IF($J18=1,D18,"")</f>
        <v>30840</v>
      </c>
      <c r="T18" s="5">
        <f>IF($J218=0, D218,"")</f>
        <v>32533</v>
      </c>
      <c r="U18" s="5">
        <f>IF($J18=1,F18,"")</f>
        <v>5551</v>
      </c>
      <c r="V18" s="5">
        <f>IF($J218=0,F218,"")</f>
        <v>2374</v>
      </c>
      <c r="W18" s="5">
        <f>IF($J18=1,G18,"")</f>
        <v>63</v>
      </c>
      <c r="X18">
        <f>IF($J218=0,G218,"")</f>
        <v>119</v>
      </c>
      <c r="Y18">
        <f>IF($J18=1,H18,"")</f>
        <v>7.2</v>
      </c>
      <c r="Z18">
        <f>IF($J218=0,H218,"")</f>
        <v>12.9</v>
      </c>
    </row>
    <row r="19" spans="1:40" x14ac:dyDescent="0.3">
      <c r="A19">
        <v>61</v>
      </c>
      <c r="B19" t="s">
        <v>62</v>
      </c>
      <c r="C19">
        <v>8</v>
      </c>
      <c r="D19" s="5">
        <v>30840</v>
      </c>
      <c r="E19" t="s">
        <v>68</v>
      </c>
      <c r="F19" s="5">
        <v>7163</v>
      </c>
      <c r="G19">
        <v>94</v>
      </c>
      <c r="H19">
        <v>11.4</v>
      </c>
      <c r="I19">
        <v>0.77628902418314538</v>
      </c>
      <c r="J19">
        <v>1</v>
      </c>
      <c r="M19" s="6"/>
      <c r="S19" s="5">
        <f>IF($J19=1,D19,"")</f>
        <v>30840</v>
      </c>
      <c r="T19" s="5">
        <f>IF($J219=0, D219,"")</f>
        <v>27282</v>
      </c>
      <c r="U19" s="5">
        <f>IF($J19=1,F19,"")</f>
        <v>7163</v>
      </c>
      <c r="V19" s="5">
        <f>IF($J219=0,F219,"")</f>
        <v>4906</v>
      </c>
      <c r="W19" s="5">
        <f>IF($J19=1,G19,"")</f>
        <v>94</v>
      </c>
      <c r="X19">
        <f>IF($J219=0,G219,"")</f>
        <v>77</v>
      </c>
      <c r="Y19">
        <f>IF($J19=1,H19,"")</f>
        <v>11.4</v>
      </c>
      <c r="Z19">
        <f>IF($J219=0,H219,"")</f>
        <v>0.8</v>
      </c>
    </row>
    <row r="20" spans="1:40" x14ac:dyDescent="0.3">
      <c r="A20">
        <v>9</v>
      </c>
      <c r="B20" t="s">
        <v>62</v>
      </c>
      <c r="C20">
        <v>7</v>
      </c>
      <c r="D20" s="5">
        <v>17832</v>
      </c>
      <c r="E20" t="s">
        <v>68</v>
      </c>
      <c r="F20" s="5">
        <v>5599</v>
      </c>
      <c r="G20">
        <v>81</v>
      </c>
      <c r="H20">
        <v>12</v>
      </c>
      <c r="I20">
        <v>0.73545475569206153</v>
      </c>
      <c r="J20">
        <v>1</v>
      </c>
      <c r="M20" s="6"/>
      <c r="S20" s="5">
        <f>IF($J20=1,D20,"")</f>
        <v>17832</v>
      </c>
      <c r="T20" s="5">
        <f>IF($J220=0, D220,"")</f>
        <v>18190</v>
      </c>
      <c r="U20" s="5">
        <f>IF($J20=1,F20,"")</f>
        <v>5599</v>
      </c>
      <c r="V20" s="5">
        <f>IF($J220=0,F220,"")</f>
        <v>3976</v>
      </c>
      <c r="W20" s="5">
        <f>IF($J20=1,G20,"")</f>
        <v>81</v>
      </c>
      <c r="X20">
        <f>IF($J220=0,G220,"")</f>
        <v>89</v>
      </c>
      <c r="Y20">
        <f>IF($J20=1,H20,"")</f>
        <v>12</v>
      </c>
      <c r="Z20">
        <f>IF($J220=0,H220,"")</f>
        <v>13.8</v>
      </c>
    </row>
    <row r="21" spans="1:40" x14ac:dyDescent="0.3">
      <c r="A21">
        <v>297</v>
      </c>
      <c r="B21" t="s">
        <v>63</v>
      </c>
      <c r="C21">
        <v>8</v>
      </c>
      <c r="D21" s="5">
        <v>30692</v>
      </c>
      <c r="E21" t="s">
        <v>67</v>
      </c>
      <c r="F21" s="5">
        <v>7097</v>
      </c>
      <c r="G21">
        <v>45</v>
      </c>
      <c r="H21">
        <v>13.9</v>
      </c>
      <c r="I21">
        <v>0.54762514998919076</v>
      </c>
      <c r="J21">
        <v>1</v>
      </c>
      <c r="M21" s="6"/>
      <c r="S21" s="5">
        <f>IF($J21=1,D21,"")</f>
        <v>30692</v>
      </c>
      <c r="T21" s="5">
        <f>IF($J221=0, D221,"")</f>
        <v>28755</v>
      </c>
      <c r="U21" s="5">
        <f>IF($J21=1,F21,"")</f>
        <v>7097</v>
      </c>
      <c r="V21" s="5">
        <f>IF($J221=0,F221,"")</f>
        <v>4897</v>
      </c>
      <c r="W21" s="5">
        <f>IF($J21=1,G21,"")</f>
        <v>45</v>
      </c>
      <c r="X21">
        <f>IF($J221=0,G221,"")</f>
        <v>93</v>
      </c>
      <c r="Y21">
        <f>IF($J21=1,H21,"")</f>
        <v>13.9</v>
      </c>
      <c r="Z21">
        <f>IF($J221=0,H221,"")</f>
        <v>7.8</v>
      </c>
    </row>
    <row r="22" spans="1:40" x14ac:dyDescent="0.3">
      <c r="A22">
        <v>128</v>
      </c>
      <c r="B22" t="s">
        <v>64</v>
      </c>
      <c r="C22">
        <v>5</v>
      </c>
      <c r="D22" s="5">
        <v>34798</v>
      </c>
      <c r="E22" t="s">
        <v>69</v>
      </c>
      <c r="F22" s="5">
        <v>4546</v>
      </c>
      <c r="G22">
        <v>28</v>
      </c>
      <c r="H22">
        <v>12.5</v>
      </c>
      <c r="I22">
        <v>0.85376285448322586</v>
      </c>
      <c r="J22">
        <v>1</v>
      </c>
      <c r="M22" s="6"/>
      <c r="S22" s="5">
        <f>IF($J22=1,D22,"")</f>
        <v>34798</v>
      </c>
      <c r="T22" s="5">
        <f>IF($J222=0, D222,"")</f>
        <v>31492</v>
      </c>
      <c r="U22" s="5">
        <f>IF($J22=1,F22,"")</f>
        <v>4546</v>
      </c>
      <c r="V22" s="5">
        <f>IF($J222=0,F222,"")</f>
        <v>5390</v>
      </c>
      <c r="W22" s="5">
        <f>IF($J22=1,G22,"")</f>
        <v>28</v>
      </c>
      <c r="X22">
        <f>IF($J222=0,G222,"")</f>
        <v>18</v>
      </c>
      <c r="Y22">
        <f>IF($J22=1,H22,"")</f>
        <v>12.5</v>
      </c>
      <c r="Z22">
        <f>IF($J222=0,H222,"")</f>
        <v>5.8</v>
      </c>
    </row>
    <row r="23" spans="1:40" x14ac:dyDescent="0.3">
      <c r="A23">
        <v>184</v>
      </c>
      <c r="B23" t="s">
        <v>63</v>
      </c>
      <c r="C23">
        <v>3</v>
      </c>
      <c r="D23" s="5">
        <v>23630</v>
      </c>
      <c r="E23" t="s">
        <v>69</v>
      </c>
      <c r="F23" s="5">
        <v>3916</v>
      </c>
      <c r="G23">
        <v>105</v>
      </c>
      <c r="H23">
        <v>4.4000000000000004</v>
      </c>
      <c r="I23">
        <v>0.78327180385084594</v>
      </c>
      <c r="J23">
        <v>1</v>
      </c>
      <c r="M23" s="6"/>
      <c r="S23" s="5">
        <f>IF($J23=1,D23,"")</f>
        <v>23630</v>
      </c>
      <c r="T23" s="5">
        <f>IF($J223=0, D223,"")</f>
        <v>29818</v>
      </c>
      <c r="U23" s="5">
        <f>IF($J23=1,F23,"")</f>
        <v>3916</v>
      </c>
      <c r="V23" s="5">
        <f>IF($J223=0,F223,"")</f>
        <v>4351</v>
      </c>
      <c r="W23" s="5">
        <f>IF($J23=1,G23,"")</f>
        <v>105</v>
      </c>
      <c r="X23">
        <f>IF($J223=0,G223,"")</f>
        <v>119</v>
      </c>
      <c r="Y23">
        <f>IF($J23=1,H23,"")</f>
        <v>4.4000000000000004</v>
      </c>
      <c r="Z23">
        <f>IF($J223=0,H223,"")</f>
        <v>10.1</v>
      </c>
    </row>
    <row r="24" spans="1:40" x14ac:dyDescent="0.3">
      <c r="A24">
        <v>76</v>
      </c>
      <c r="B24" t="s">
        <v>64</v>
      </c>
      <c r="C24">
        <v>3</v>
      </c>
      <c r="D24" s="5">
        <v>29701</v>
      </c>
      <c r="E24" t="s">
        <v>67</v>
      </c>
      <c r="F24" s="5">
        <v>4613</v>
      </c>
      <c r="G24">
        <v>96</v>
      </c>
      <c r="H24">
        <v>13.8</v>
      </c>
      <c r="I24">
        <v>0.82094774257775338</v>
      </c>
      <c r="J24">
        <v>1</v>
      </c>
      <c r="M24" s="6"/>
      <c r="S24" s="5">
        <f>IF($J24=1,D24,"")</f>
        <v>29701</v>
      </c>
      <c r="T24" s="5">
        <f>IF($J224=0, D224,"")</f>
        <v>24250</v>
      </c>
      <c r="U24" s="5">
        <f>IF($J24=1,F24,"")</f>
        <v>4613</v>
      </c>
      <c r="V24" s="5">
        <f>IF($J224=0,F224,"")</f>
        <v>2851</v>
      </c>
      <c r="W24" s="5">
        <f>IF($J24=1,G24,"")</f>
        <v>96</v>
      </c>
      <c r="X24">
        <f>IF($J224=0,G224,"")</f>
        <v>53</v>
      </c>
      <c r="Y24">
        <f>IF($J24=1,H24,"")</f>
        <v>13.8</v>
      </c>
      <c r="Z24">
        <f>IF($J224=0,H224,"")</f>
        <v>10.199999999999999</v>
      </c>
    </row>
    <row r="25" spans="1:40" x14ac:dyDescent="0.3">
      <c r="A25">
        <v>243</v>
      </c>
      <c r="B25" t="s">
        <v>62</v>
      </c>
      <c r="C25">
        <v>3</v>
      </c>
      <c r="D25" s="5">
        <v>17880</v>
      </c>
      <c r="E25" t="s">
        <v>68</v>
      </c>
      <c r="F25" s="5">
        <v>5098</v>
      </c>
      <c r="G25">
        <v>30</v>
      </c>
      <c r="H25">
        <v>14</v>
      </c>
      <c r="I25">
        <v>3.5568358414126422E-2</v>
      </c>
      <c r="J25">
        <v>1</v>
      </c>
      <c r="M25" s="6"/>
      <c r="S25" s="5">
        <f>IF($J25=1,D25,"")</f>
        <v>17880</v>
      </c>
      <c r="T25" s="5">
        <f>IF($J225=0, D225,"")</f>
        <v>29289</v>
      </c>
      <c r="U25" s="5">
        <f>IF($J25=1,F25,"")</f>
        <v>5098</v>
      </c>
      <c r="V25" s="5">
        <f>IF($J225=0,F225,"")</f>
        <v>6542</v>
      </c>
      <c r="W25" s="5">
        <f>IF($J25=1,G25,"")</f>
        <v>30</v>
      </c>
      <c r="X25">
        <f>IF($J225=0,G225,"")</f>
        <v>57</v>
      </c>
      <c r="Y25">
        <f>IF($J25=1,H25,"")</f>
        <v>14</v>
      </c>
      <c r="Z25">
        <f>IF($J225=0,H225,"")</f>
        <v>2.9</v>
      </c>
    </row>
    <row r="26" spans="1:40" x14ac:dyDescent="0.3">
      <c r="A26">
        <v>334</v>
      </c>
      <c r="B26" t="s">
        <v>63</v>
      </c>
      <c r="C26">
        <v>7</v>
      </c>
      <c r="D26" s="5">
        <v>39052</v>
      </c>
      <c r="E26" t="s">
        <v>68</v>
      </c>
      <c r="F26" s="5">
        <v>4973</v>
      </c>
      <c r="G26">
        <v>55</v>
      </c>
      <c r="H26">
        <v>14.9</v>
      </c>
      <c r="I26">
        <v>0.99869109059404859</v>
      </c>
      <c r="J26">
        <v>1</v>
      </c>
      <c r="M26" s="6"/>
      <c r="S26" s="5">
        <f>IF($J26=1,D26,"")</f>
        <v>39052</v>
      </c>
      <c r="T26" s="5">
        <f>IF($J226=0, D226,"")</f>
        <v>29429</v>
      </c>
      <c r="U26" s="5">
        <f>IF($J26=1,F26,"")</f>
        <v>4973</v>
      </c>
      <c r="V26" s="5">
        <f>IF($J226=0,F226,"")</f>
        <v>6762</v>
      </c>
      <c r="W26" s="5">
        <f>IF($J26=1,G26,"")</f>
        <v>55</v>
      </c>
      <c r="X26">
        <f>IF($J226=0,G226,"")</f>
        <v>84</v>
      </c>
      <c r="Y26">
        <f>IF($J26=1,H26,"")</f>
        <v>14.9</v>
      </c>
      <c r="Z26">
        <f>IF($J226=0,H226,"")</f>
        <v>8.4</v>
      </c>
    </row>
    <row r="27" spans="1:40" x14ac:dyDescent="0.3">
      <c r="A27">
        <v>98</v>
      </c>
      <c r="B27" t="s">
        <v>64</v>
      </c>
      <c r="C27">
        <v>6</v>
      </c>
      <c r="D27" s="5">
        <v>13496</v>
      </c>
      <c r="E27" t="s">
        <v>67</v>
      </c>
      <c r="F27" s="5">
        <v>4192</v>
      </c>
      <c r="G27">
        <v>16</v>
      </c>
      <c r="H27">
        <v>6.4</v>
      </c>
      <c r="I27">
        <v>0.17038515698311374</v>
      </c>
      <c r="J27">
        <v>1</v>
      </c>
      <c r="M27" s="6"/>
      <c r="S27" s="5">
        <f>IF($J27=1,D27,"")</f>
        <v>13496</v>
      </c>
      <c r="T27" s="5">
        <f>IF($J227=0, D227,"")</f>
        <v>18749</v>
      </c>
      <c r="U27" s="5">
        <f>IF($J27=1,F27,"")</f>
        <v>4192</v>
      </c>
      <c r="V27" s="5">
        <f>IF($J227=0,F227,"")</f>
        <v>4729</v>
      </c>
      <c r="W27" s="5">
        <f>IF($J27=1,G27,"")</f>
        <v>16</v>
      </c>
      <c r="X27">
        <f>IF($J227=0,G227,"")</f>
        <v>29</v>
      </c>
      <c r="Y27">
        <f>IF($J27=1,H27,"")</f>
        <v>6.4</v>
      </c>
      <c r="Z27">
        <f>IF($J227=0,H227,"")</f>
        <v>14.8</v>
      </c>
    </row>
    <row r="28" spans="1:40" x14ac:dyDescent="0.3">
      <c r="A28">
        <v>157</v>
      </c>
      <c r="B28" t="s">
        <v>63</v>
      </c>
      <c r="C28">
        <v>7</v>
      </c>
      <c r="D28" s="5">
        <v>26198</v>
      </c>
      <c r="E28" t="s">
        <v>68</v>
      </c>
      <c r="F28" s="5">
        <v>4623</v>
      </c>
      <c r="G28">
        <v>22</v>
      </c>
      <c r="H28">
        <v>11.6</v>
      </c>
      <c r="I28">
        <v>0.42993780814488247</v>
      </c>
      <c r="J28">
        <v>1</v>
      </c>
      <c r="M28" s="6"/>
      <c r="S28" s="5">
        <f>IF($J28=1,D28,"")</f>
        <v>26198</v>
      </c>
      <c r="T28" s="5">
        <f>IF($J228=0, D228,"")</f>
        <v>22611</v>
      </c>
      <c r="U28" s="5">
        <f>IF($J28=1,F28,"")</f>
        <v>4623</v>
      </c>
      <c r="V28" s="5">
        <f>IF($J228=0,F228,"")</f>
        <v>4890</v>
      </c>
      <c r="W28" s="5">
        <f>IF($J28=1,G28,"")</f>
        <v>22</v>
      </c>
      <c r="X28">
        <f>IF($J228=0,G228,"")</f>
        <v>62</v>
      </c>
      <c r="Y28">
        <f>IF($J28=1,H28,"")</f>
        <v>11.6</v>
      </c>
      <c r="Z28">
        <f>IF($J228=0,H228,"")</f>
        <v>11.5</v>
      </c>
      <c r="AD28" s="9"/>
      <c r="AE28" s="9"/>
      <c r="AF28" s="9"/>
      <c r="AL28" s="9"/>
      <c r="AM28" s="9"/>
      <c r="AN28" s="9"/>
    </row>
    <row r="29" spans="1:40" x14ac:dyDescent="0.3">
      <c r="A29">
        <v>341</v>
      </c>
      <c r="B29" t="s">
        <v>63</v>
      </c>
      <c r="C29">
        <v>2</v>
      </c>
      <c r="D29" s="5">
        <v>24386</v>
      </c>
      <c r="E29" t="s">
        <v>68</v>
      </c>
      <c r="F29" s="5">
        <v>4379</v>
      </c>
      <c r="G29">
        <v>48</v>
      </c>
      <c r="H29">
        <v>9.8000000000000007</v>
      </c>
      <c r="I29">
        <v>0.63763910024294368</v>
      </c>
      <c r="J29">
        <v>1</v>
      </c>
      <c r="M29" s="6"/>
      <c r="S29" s="5">
        <f>IF($J29=1,D29,"")</f>
        <v>24386</v>
      </c>
      <c r="T29" s="5">
        <f>IF($J229=0, D229,"")</f>
        <v>16295</v>
      </c>
      <c r="U29" s="5">
        <f>IF($J29=1,F29,"")</f>
        <v>4379</v>
      </c>
      <c r="V29" s="5">
        <f>IF($J229=0,F229,"")</f>
        <v>3555</v>
      </c>
      <c r="W29" s="5">
        <f>IF($J29=1,G29,"")</f>
        <v>48</v>
      </c>
      <c r="X29">
        <f>IF($J229=0,G229,"")</f>
        <v>36</v>
      </c>
      <c r="Y29">
        <f>IF($J29=1,H29,"")</f>
        <v>9.8000000000000007</v>
      </c>
      <c r="Z29">
        <f>IF($J229=0,H229,"")</f>
        <v>7.2</v>
      </c>
      <c r="AD29" s="9"/>
      <c r="AE29" s="9"/>
      <c r="AF29" s="9"/>
      <c r="AL29" s="9"/>
      <c r="AM29" s="9"/>
      <c r="AN29" s="9"/>
    </row>
    <row r="30" spans="1:40" x14ac:dyDescent="0.3">
      <c r="A30">
        <v>36</v>
      </c>
      <c r="B30" t="s">
        <v>65</v>
      </c>
      <c r="C30">
        <v>7</v>
      </c>
      <c r="D30" s="5">
        <v>23768</v>
      </c>
      <c r="E30" t="s">
        <v>68</v>
      </c>
      <c r="F30" s="5">
        <v>5515</v>
      </c>
      <c r="G30">
        <v>44</v>
      </c>
      <c r="H30">
        <v>1.3</v>
      </c>
      <c r="I30">
        <v>0.48346388175461208</v>
      </c>
      <c r="J30">
        <v>1</v>
      </c>
      <c r="M30" s="6"/>
      <c r="S30" s="5">
        <f>IF($J30=1,D30,"")</f>
        <v>23768</v>
      </c>
      <c r="T30" s="5">
        <f>IF($J230=0, D230,"")</f>
        <v>30044</v>
      </c>
      <c r="U30" s="5">
        <f>IF($J30=1,F30,"")</f>
        <v>5515</v>
      </c>
      <c r="V30" s="5">
        <f>IF($J230=0,F230,"")</f>
        <v>5391</v>
      </c>
      <c r="W30" s="5">
        <f>IF($J30=1,G30,"")</f>
        <v>44</v>
      </c>
      <c r="X30">
        <f>IF($J230=0,G230,"")</f>
        <v>118</v>
      </c>
      <c r="Y30">
        <f>IF($J30=1,H30,"")</f>
        <v>1.3</v>
      </c>
      <c r="Z30">
        <f>IF($J230=0,H230,"")</f>
        <v>3.8</v>
      </c>
      <c r="AD30" s="9"/>
      <c r="AE30" s="9"/>
      <c r="AF30" s="9"/>
      <c r="AL30" s="9"/>
      <c r="AM30" s="9"/>
      <c r="AN30" s="9"/>
    </row>
    <row r="31" spans="1:40" x14ac:dyDescent="0.3">
      <c r="A31">
        <v>171</v>
      </c>
      <c r="B31" t="s">
        <v>62</v>
      </c>
      <c r="C31">
        <v>3</v>
      </c>
      <c r="D31" s="5">
        <v>45320</v>
      </c>
      <c r="E31" t="s">
        <v>67</v>
      </c>
      <c r="F31" s="5">
        <v>4849</v>
      </c>
      <c r="G31">
        <v>48</v>
      </c>
      <c r="H31">
        <v>10.4</v>
      </c>
      <c r="I31">
        <v>0.9844445185813111</v>
      </c>
      <c r="J31">
        <v>1</v>
      </c>
      <c r="M31" s="6"/>
      <c r="S31" s="5">
        <f>IF($J31=1,D31,"")</f>
        <v>45320</v>
      </c>
      <c r="T31" s="5">
        <f>IF($J231=0, D231,"")</f>
        <v>20777</v>
      </c>
      <c r="U31" s="5">
        <f>IF($J31=1,F31,"")</f>
        <v>4849</v>
      </c>
      <c r="V31" s="5">
        <f>IF($J231=0,F231,"")</f>
        <v>6667</v>
      </c>
      <c r="W31" s="5">
        <f>IF($J31=1,G31,"")</f>
        <v>48</v>
      </c>
      <c r="X31">
        <f>IF($J231=0,G231,"")</f>
        <v>88</v>
      </c>
      <c r="Y31">
        <f>IF($J31=1,H31,"")</f>
        <v>10.4</v>
      </c>
      <c r="Z31">
        <f>IF($J231=0,H231,"")</f>
        <v>2</v>
      </c>
      <c r="AD31" s="9"/>
      <c r="AE31" s="9"/>
      <c r="AF31" s="9"/>
      <c r="AL31" s="9"/>
      <c r="AM31" s="9"/>
      <c r="AN31" s="9"/>
    </row>
    <row r="32" spans="1:40" x14ac:dyDescent="0.3">
      <c r="A32">
        <v>299</v>
      </c>
      <c r="B32" t="s">
        <v>62</v>
      </c>
      <c r="C32">
        <v>6</v>
      </c>
      <c r="D32" s="5">
        <v>21710</v>
      </c>
      <c r="E32" t="s">
        <v>67</v>
      </c>
      <c r="F32" s="5">
        <v>4660</v>
      </c>
      <c r="G32">
        <v>29</v>
      </c>
      <c r="H32">
        <v>8.5</v>
      </c>
      <c r="I32">
        <v>0.16872810263345761</v>
      </c>
      <c r="J32">
        <v>1</v>
      </c>
      <c r="M32" s="6"/>
      <c r="S32" s="5">
        <f>IF($J32=1,D32,"")</f>
        <v>21710</v>
      </c>
      <c r="T32" s="5">
        <f>IF($J232=0, D232,"")</f>
        <v>26752</v>
      </c>
      <c r="U32" s="5">
        <f>IF($J32=1,F32,"")</f>
        <v>4660</v>
      </c>
      <c r="V32" s="5">
        <f>IF($J232=0,F232,"")</f>
        <v>3866</v>
      </c>
      <c r="W32" s="5">
        <f>IF($J32=1,G32,"")</f>
        <v>29</v>
      </c>
      <c r="X32">
        <f>IF($J232=0,G232,"")</f>
        <v>105</v>
      </c>
      <c r="Y32">
        <f>IF($J32=1,H32,"")</f>
        <v>8.5</v>
      </c>
      <c r="Z32">
        <f>IF($J232=0,H232,"")</f>
        <v>10.7</v>
      </c>
      <c r="AD32" s="9"/>
      <c r="AE32" s="9"/>
      <c r="AF32" s="9"/>
      <c r="AL32" s="9"/>
      <c r="AM32" s="9"/>
      <c r="AN32" s="9"/>
    </row>
    <row r="33" spans="1:40" x14ac:dyDescent="0.3">
      <c r="A33">
        <v>381</v>
      </c>
      <c r="B33" t="s">
        <v>65</v>
      </c>
      <c r="C33">
        <v>7</v>
      </c>
      <c r="D33" s="5">
        <v>29395</v>
      </c>
      <c r="E33" t="s">
        <v>67</v>
      </c>
      <c r="F33" s="5">
        <v>5998</v>
      </c>
      <c r="G33">
        <v>23</v>
      </c>
      <c r="H33">
        <v>14.1</v>
      </c>
      <c r="I33">
        <v>0.19629902652394593</v>
      </c>
      <c r="J33">
        <v>1</v>
      </c>
      <c r="M33" s="6"/>
      <c r="S33" s="5">
        <f>IF($J33=1,D33,"")</f>
        <v>29395</v>
      </c>
      <c r="T33" s="5">
        <f>IF($J233=0, D233,"")</f>
        <v>24669</v>
      </c>
      <c r="U33" s="5">
        <f>IF($J33=1,F33,"")</f>
        <v>5998</v>
      </c>
      <c r="V33" s="5">
        <f>IF($J233=0,F233,"")</f>
        <v>5293</v>
      </c>
      <c r="W33" s="5">
        <f>IF($J33=1,G33,"")</f>
        <v>23</v>
      </c>
      <c r="X33">
        <f>IF($J233=0,G233,"")</f>
        <v>77</v>
      </c>
      <c r="Y33">
        <f>IF($J33=1,H33,"")</f>
        <v>14.1</v>
      </c>
      <c r="Z33">
        <f>IF($J233=0,H233,"")</f>
        <v>14.4</v>
      </c>
      <c r="AD33" s="9"/>
      <c r="AE33" s="9"/>
      <c r="AF33" s="9"/>
      <c r="AL33" s="9"/>
      <c r="AM33" s="9"/>
      <c r="AN33" s="9"/>
    </row>
    <row r="34" spans="1:40" ht="15" thickBot="1" x14ac:dyDescent="0.35">
      <c r="A34">
        <v>283</v>
      </c>
      <c r="B34" t="s">
        <v>65</v>
      </c>
      <c r="C34">
        <v>5</v>
      </c>
      <c r="D34" s="5">
        <v>26227</v>
      </c>
      <c r="E34" t="s">
        <v>66</v>
      </c>
      <c r="F34" s="5">
        <v>5519</v>
      </c>
      <c r="G34">
        <v>74</v>
      </c>
      <c r="H34">
        <v>12.3</v>
      </c>
      <c r="I34">
        <v>0.20291282801896515</v>
      </c>
      <c r="J34">
        <v>1</v>
      </c>
      <c r="M34" s="6"/>
      <c r="S34" s="5">
        <f>IF($J34=1,D34,"")</f>
        <v>26227</v>
      </c>
      <c r="T34" s="5">
        <f>IF($J234=0, D234,"")</f>
        <v>29246</v>
      </c>
      <c r="U34" s="5">
        <f>IF($J34=1,F34,"")</f>
        <v>5519</v>
      </c>
      <c r="V34" s="5">
        <f>IF($J234=0,F234,"")</f>
        <v>5422</v>
      </c>
      <c r="W34" s="5">
        <f>IF($J34=1,G34,"")</f>
        <v>74</v>
      </c>
      <c r="X34">
        <f>IF($J234=0,G234,"")</f>
        <v>88</v>
      </c>
      <c r="Y34">
        <f>IF($J34=1,H34,"")</f>
        <v>12.3</v>
      </c>
      <c r="Z34">
        <f>IF($J234=0,H234,"")</f>
        <v>9.8000000000000007</v>
      </c>
      <c r="AD34" s="10"/>
      <c r="AE34" s="10"/>
      <c r="AF34" s="10"/>
      <c r="AL34" s="9"/>
      <c r="AM34" s="9"/>
      <c r="AN34" s="9"/>
    </row>
    <row r="35" spans="1:40" x14ac:dyDescent="0.3">
      <c r="A35">
        <v>3</v>
      </c>
      <c r="B35" t="s">
        <v>65</v>
      </c>
      <c r="C35">
        <v>4</v>
      </c>
      <c r="D35" s="5">
        <v>14833</v>
      </c>
      <c r="E35" t="s">
        <v>66</v>
      </c>
      <c r="F35" s="5">
        <v>4375</v>
      </c>
      <c r="G35">
        <v>90</v>
      </c>
      <c r="H35">
        <v>6.2</v>
      </c>
      <c r="I35">
        <v>0.79761922637862603</v>
      </c>
      <c r="J35">
        <v>1</v>
      </c>
      <c r="M35" s="6"/>
      <c r="S35" s="5">
        <f>IF($J35=1,D35,"")</f>
        <v>14833</v>
      </c>
      <c r="T35" s="5">
        <f>IF($J235=0, D235,"")</f>
        <v>42892</v>
      </c>
      <c r="U35" s="5">
        <f>IF($J35=1,F35,"")</f>
        <v>4375</v>
      </c>
      <c r="V35" s="5">
        <f>IF($J235=0,F235,"")</f>
        <v>4418</v>
      </c>
      <c r="W35" s="5">
        <f>IF($J35=1,G35,"")</f>
        <v>90</v>
      </c>
      <c r="X35">
        <f>IF($J235=0,G235,"")</f>
        <v>79</v>
      </c>
      <c r="Y35">
        <f>IF($J35=1,H35,"")</f>
        <v>6.2</v>
      </c>
      <c r="Z35">
        <f>IF($J235=0,H235,"")</f>
        <v>9.3000000000000007</v>
      </c>
      <c r="AL35" s="9"/>
      <c r="AM35" s="9"/>
      <c r="AN35" s="9"/>
    </row>
    <row r="36" spans="1:40" x14ac:dyDescent="0.3">
      <c r="A36">
        <v>357</v>
      </c>
      <c r="B36" t="s">
        <v>62</v>
      </c>
      <c r="C36">
        <v>7</v>
      </c>
      <c r="D36" s="5">
        <v>33746</v>
      </c>
      <c r="E36" t="s">
        <v>68</v>
      </c>
      <c r="F36" s="5">
        <v>5051</v>
      </c>
      <c r="G36">
        <v>37</v>
      </c>
      <c r="H36">
        <v>11.3</v>
      </c>
      <c r="I36">
        <v>0.11022176426811037</v>
      </c>
      <c r="J36">
        <v>1</v>
      </c>
      <c r="M36" s="6"/>
      <c r="S36" s="5">
        <f>IF($J36=1,D36,"")</f>
        <v>33746</v>
      </c>
      <c r="T36" s="5">
        <f>IF($J236=0, D236,"")</f>
        <v>23936</v>
      </c>
      <c r="U36" s="5">
        <f>IF($J36=1,F36,"")</f>
        <v>5051</v>
      </c>
      <c r="V36" s="5">
        <f>IF($J236=0,F236,"")</f>
        <v>2921</v>
      </c>
      <c r="W36" s="5">
        <f>IF($J36=1,G36,"")</f>
        <v>37</v>
      </c>
      <c r="X36">
        <f>IF($J236=0,G236,"")</f>
        <v>101</v>
      </c>
      <c r="Y36">
        <f>IF($J36=1,H36,"")</f>
        <v>11.3</v>
      </c>
      <c r="Z36">
        <f>IF($J236=0,H236,"")</f>
        <v>0.7</v>
      </c>
      <c r="AL36" s="9"/>
      <c r="AM36" s="9"/>
      <c r="AN36" s="9"/>
    </row>
    <row r="37" spans="1:40" ht="15" thickBot="1" x14ac:dyDescent="0.35">
      <c r="A37">
        <v>70</v>
      </c>
      <c r="B37" t="s">
        <v>64</v>
      </c>
      <c r="C37">
        <v>8</v>
      </c>
      <c r="D37" s="5">
        <v>40152</v>
      </c>
      <c r="E37" t="s">
        <v>68</v>
      </c>
      <c r="F37" s="5">
        <v>4898</v>
      </c>
      <c r="G37">
        <v>45</v>
      </c>
      <c r="H37">
        <v>8.6999999999999993</v>
      </c>
      <c r="I37">
        <v>0.21753813935860755</v>
      </c>
      <c r="J37">
        <v>1</v>
      </c>
      <c r="M37" s="6"/>
      <c r="S37" s="5">
        <f>IF($J37=1,D37,"")</f>
        <v>40152</v>
      </c>
      <c r="T37" s="5">
        <f>IF($J237=0, D237,"")</f>
        <v>29838</v>
      </c>
      <c r="U37" s="5">
        <f>IF($J37=1,F37,"")</f>
        <v>4898</v>
      </c>
      <c r="V37" s="5">
        <f>IF($J237=0,F237,"")</f>
        <v>4816</v>
      </c>
      <c r="W37" s="5">
        <f>IF($J37=1,G37,"")</f>
        <v>45</v>
      </c>
      <c r="X37">
        <f>IF($J237=0,G237,"")</f>
        <v>94</v>
      </c>
      <c r="Y37">
        <f>IF($J37=1,H37,"")</f>
        <v>8.6999999999999993</v>
      </c>
      <c r="Z37">
        <f>IF($J237=0,H237,"")</f>
        <v>14.7</v>
      </c>
      <c r="AL37" s="10"/>
      <c r="AM37" s="10"/>
      <c r="AN37" s="10"/>
    </row>
    <row r="38" spans="1:40" x14ac:dyDescent="0.3">
      <c r="A38">
        <v>158</v>
      </c>
      <c r="B38" t="s">
        <v>63</v>
      </c>
      <c r="C38">
        <v>7</v>
      </c>
      <c r="D38" s="5">
        <v>30435</v>
      </c>
      <c r="E38" t="s">
        <v>69</v>
      </c>
      <c r="F38" s="5">
        <v>4535</v>
      </c>
      <c r="G38">
        <v>80</v>
      </c>
      <c r="H38">
        <v>1.7</v>
      </c>
      <c r="I38">
        <v>0.73915671895977086</v>
      </c>
      <c r="J38">
        <v>1</v>
      </c>
      <c r="M38" s="6"/>
      <c r="S38" s="5">
        <f>IF($J38=1,D38,"")</f>
        <v>30435</v>
      </c>
      <c r="T38" s="5">
        <f>IF($J238=0, D238,"")</f>
        <v>30304</v>
      </c>
      <c r="U38" s="5">
        <f>IF($J38=1,F38,"")</f>
        <v>4535</v>
      </c>
      <c r="V38" s="5">
        <f>IF($J238=0,F238,"")</f>
        <v>4779</v>
      </c>
      <c r="W38" s="5">
        <f>IF($J38=1,G38,"")</f>
        <v>80</v>
      </c>
      <c r="X38">
        <f>IF($J238=0,G238,"")</f>
        <v>88</v>
      </c>
      <c r="Y38">
        <f>IF($J38=1,H38,"")</f>
        <v>1.7</v>
      </c>
      <c r="Z38">
        <f>IF($J238=0,H238,"")</f>
        <v>7.4</v>
      </c>
    </row>
    <row r="39" spans="1:40" x14ac:dyDescent="0.3">
      <c r="A39">
        <v>105</v>
      </c>
      <c r="B39" t="s">
        <v>63</v>
      </c>
      <c r="C39">
        <v>6</v>
      </c>
      <c r="D39" s="5">
        <v>28023</v>
      </c>
      <c r="E39" t="s">
        <v>69</v>
      </c>
      <c r="F39" s="5">
        <v>5131</v>
      </c>
      <c r="G39">
        <v>84</v>
      </c>
      <c r="H39">
        <v>3.1</v>
      </c>
      <c r="I39">
        <v>0.62383298487685557</v>
      </c>
      <c r="J39">
        <v>1</v>
      </c>
      <c r="M39" s="6"/>
      <c r="S39" s="5">
        <f>IF($J39=1,D39,"")</f>
        <v>28023</v>
      </c>
      <c r="T39" s="5">
        <f>IF($J239=0, D239,"")</f>
        <v>29894</v>
      </c>
      <c r="U39" s="5">
        <f>IF($J39=1,F39,"")</f>
        <v>5131</v>
      </c>
      <c r="V39" s="5">
        <f>IF($J239=0,F239,"")</f>
        <v>7143</v>
      </c>
      <c r="W39" s="5">
        <f>IF($J39=1,G39,"")</f>
        <v>84</v>
      </c>
      <c r="X39">
        <f>IF($J239=0,G239,"")</f>
        <v>111</v>
      </c>
      <c r="Y39">
        <f>IF($J39=1,H39,"")</f>
        <v>3.1</v>
      </c>
      <c r="Z39">
        <f>IF($J239=0,H239,"")</f>
        <v>8.9</v>
      </c>
    </row>
    <row r="40" spans="1:40" x14ac:dyDescent="0.3">
      <c r="A40">
        <v>272</v>
      </c>
      <c r="B40" t="s">
        <v>64</v>
      </c>
      <c r="C40">
        <v>5</v>
      </c>
      <c r="D40" s="5">
        <v>26863</v>
      </c>
      <c r="E40" t="s">
        <v>67</v>
      </c>
      <c r="F40" s="5">
        <v>5034</v>
      </c>
      <c r="G40">
        <v>95</v>
      </c>
      <c r="H40">
        <v>8.1999999999999993</v>
      </c>
      <c r="I40">
        <v>0.37612967543882436</v>
      </c>
      <c r="J40">
        <v>1</v>
      </c>
      <c r="M40" s="6"/>
      <c r="S40" s="5">
        <f>IF($J40=1,D40,"")</f>
        <v>26863</v>
      </c>
      <c r="T40" s="5">
        <f>IF($J240=0, D240,"")</f>
        <v>23896</v>
      </c>
      <c r="U40" s="5">
        <f>IF($J40=1,F40,"")</f>
        <v>5034</v>
      </c>
      <c r="V40" s="5">
        <f>IF($J240=0,F240,"")</f>
        <v>2582</v>
      </c>
      <c r="W40" s="5">
        <f>IF($J40=1,G40,"")</f>
        <v>95</v>
      </c>
      <c r="X40">
        <f>IF($J240=0,G240,"")</f>
        <v>65</v>
      </c>
      <c r="Y40">
        <f>IF($J40=1,H40,"")</f>
        <v>8.1999999999999993</v>
      </c>
      <c r="Z40">
        <f>IF($J240=0,H240,"")</f>
        <v>12.3</v>
      </c>
    </row>
    <row r="41" spans="1:40" x14ac:dyDescent="0.3">
      <c r="A41">
        <v>321</v>
      </c>
      <c r="B41" t="s">
        <v>64</v>
      </c>
      <c r="C41">
        <v>3</v>
      </c>
      <c r="D41" s="5">
        <v>30401</v>
      </c>
      <c r="E41" t="s">
        <v>67</v>
      </c>
      <c r="F41" s="5">
        <v>3498</v>
      </c>
      <c r="G41">
        <v>46</v>
      </c>
      <c r="H41">
        <v>12.9</v>
      </c>
      <c r="I41">
        <v>6.6232856032179654E-2</v>
      </c>
      <c r="J41">
        <v>1</v>
      </c>
      <c r="M41" s="6"/>
      <c r="S41" s="5">
        <f>IF($J41=1,D41,"")</f>
        <v>30401</v>
      </c>
      <c r="T41" s="5">
        <f>IF($J241=0, D241,"")</f>
        <v>27983</v>
      </c>
      <c r="U41" s="5">
        <f>IF($J41=1,F41,"")</f>
        <v>3498</v>
      </c>
      <c r="V41" s="5">
        <f>IF($J241=0,F241,"")</f>
        <v>3917</v>
      </c>
      <c r="W41" s="5">
        <f>IF($J41=1,G41,"")</f>
        <v>46</v>
      </c>
      <c r="X41">
        <f>IF($J241=0,G241,"")</f>
        <v>120</v>
      </c>
      <c r="Y41">
        <f>IF($J41=1,H41,"")</f>
        <v>12.9</v>
      </c>
      <c r="Z41">
        <f>IF($J241=0,H241,"")</f>
        <v>8.6</v>
      </c>
    </row>
    <row r="42" spans="1:40" x14ac:dyDescent="0.3">
      <c r="A42">
        <v>153</v>
      </c>
      <c r="B42" t="s">
        <v>63</v>
      </c>
      <c r="C42">
        <v>8</v>
      </c>
      <c r="D42" s="5">
        <v>19742</v>
      </c>
      <c r="E42" t="s">
        <v>66</v>
      </c>
      <c r="F42" s="5">
        <v>6571</v>
      </c>
      <c r="G42">
        <v>109</v>
      </c>
      <c r="H42">
        <v>10.6</v>
      </c>
      <c r="I42">
        <v>5.3041104798580152E-3</v>
      </c>
      <c r="J42">
        <v>1</v>
      </c>
      <c r="M42" s="6"/>
      <c r="S42" s="5">
        <f>IF($J42=1,D42,"")</f>
        <v>19742</v>
      </c>
      <c r="T42" s="5">
        <f>IF($J242=0, D242,"")</f>
        <v>30714</v>
      </c>
      <c r="U42" s="5">
        <f>IF($J42=1,F42,"")</f>
        <v>6571</v>
      </c>
      <c r="V42" s="5">
        <f>IF($J242=0,F242,"")</f>
        <v>3373</v>
      </c>
      <c r="W42" s="5">
        <f>IF($J42=1,G42,"")</f>
        <v>109</v>
      </c>
      <c r="X42">
        <f>IF($J242=0,G242,"")</f>
        <v>92</v>
      </c>
      <c r="Y42">
        <f>IF($J42=1,H42,"")</f>
        <v>10.6</v>
      </c>
      <c r="Z42">
        <f>IF($J242=0,H242,"")</f>
        <v>14.1</v>
      </c>
    </row>
    <row r="43" spans="1:40" x14ac:dyDescent="0.3">
      <c r="A43">
        <v>266</v>
      </c>
      <c r="B43" t="s">
        <v>65</v>
      </c>
      <c r="C43">
        <v>6</v>
      </c>
      <c r="D43" s="5">
        <v>18420</v>
      </c>
      <c r="E43" t="s">
        <v>67</v>
      </c>
      <c r="F43" s="5">
        <v>6112</v>
      </c>
      <c r="G43">
        <v>99</v>
      </c>
      <c r="H43">
        <v>14.1</v>
      </c>
      <c r="I43">
        <v>0.3554421458880842</v>
      </c>
      <c r="J43">
        <v>1</v>
      </c>
      <c r="M43" s="6"/>
      <c r="S43" s="5">
        <f>IF($J43=1,D43,"")</f>
        <v>18420</v>
      </c>
      <c r="T43" s="5">
        <f>IF($J243=0, D243,"")</f>
        <v>26646</v>
      </c>
      <c r="U43" s="5">
        <f>IF($J43=1,F43,"")</f>
        <v>6112</v>
      </c>
      <c r="V43" s="5">
        <f>IF($J243=0,F243,"")</f>
        <v>3043</v>
      </c>
      <c r="W43" s="5">
        <f>IF($J43=1,G43,"")</f>
        <v>99</v>
      </c>
      <c r="X43">
        <f>IF($J243=0,G243,"")</f>
        <v>59</v>
      </c>
      <c r="Y43">
        <f>IF($J43=1,H43,"")</f>
        <v>14.1</v>
      </c>
      <c r="Z43">
        <f>IF($J243=0,H243,"")</f>
        <v>8.5</v>
      </c>
    </row>
    <row r="44" spans="1:40" x14ac:dyDescent="0.3">
      <c r="A44">
        <v>208</v>
      </c>
      <c r="B44" t="s">
        <v>62</v>
      </c>
      <c r="C44">
        <v>4</v>
      </c>
      <c r="D44" s="5">
        <v>37597</v>
      </c>
      <c r="E44" t="s">
        <v>67</v>
      </c>
      <c r="F44" s="5">
        <v>5313</v>
      </c>
      <c r="G44">
        <v>47</v>
      </c>
      <c r="H44">
        <v>13.6</v>
      </c>
      <c r="I44">
        <v>0.36082484545332449</v>
      </c>
      <c r="J44">
        <v>1</v>
      </c>
      <c r="M44" s="6"/>
      <c r="S44" s="5">
        <f>IF($J44=1,D44,"")</f>
        <v>37597</v>
      </c>
      <c r="T44" s="5">
        <f>IF($J244=0, D244,"")</f>
        <v>24515</v>
      </c>
      <c r="U44" s="5">
        <f>IF($J44=1,F44,"")</f>
        <v>5313</v>
      </c>
      <c r="V44" s="5">
        <f>IF($J244=0,F244,"")</f>
        <v>3476</v>
      </c>
      <c r="W44" s="5">
        <f>IF($J44=1,G44,"")</f>
        <v>47</v>
      </c>
      <c r="X44">
        <f>IF($J244=0,G244,"")</f>
        <v>19</v>
      </c>
      <c r="Y44">
        <f>IF($J44=1,H44,"")</f>
        <v>13.6</v>
      </c>
      <c r="Z44">
        <f>IF($J244=0,H244,"")</f>
        <v>8</v>
      </c>
    </row>
    <row r="45" spans="1:40" x14ac:dyDescent="0.3">
      <c r="A45">
        <v>11</v>
      </c>
      <c r="B45" t="s">
        <v>65</v>
      </c>
      <c r="C45">
        <v>2</v>
      </c>
      <c r="D45" s="5">
        <v>43415</v>
      </c>
      <c r="E45" t="s">
        <v>66</v>
      </c>
      <c r="F45" s="5">
        <v>4688</v>
      </c>
      <c r="G45">
        <v>84</v>
      </c>
      <c r="H45">
        <v>13.9</v>
      </c>
      <c r="I45">
        <v>0.61865664403327902</v>
      </c>
      <c r="J45">
        <v>1</v>
      </c>
      <c r="M45" s="6"/>
      <c r="S45" s="5">
        <f>IF($J45=1,D45,"")</f>
        <v>43415</v>
      </c>
      <c r="T45" s="5">
        <f>IF($J245=0, D245,"")</f>
        <v>27375</v>
      </c>
      <c r="U45" s="5">
        <f>IF($J45=1,F45,"")</f>
        <v>4688</v>
      </c>
      <c r="V45" s="5">
        <f>IF($J245=0,F245,"")</f>
        <v>4816</v>
      </c>
      <c r="W45" s="5">
        <f>IF($J45=1,G45,"")</f>
        <v>84</v>
      </c>
      <c r="X45">
        <f>IF($J245=0,G245,"")</f>
        <v>110</v>
      </c>
      <c r="Y45">
        <f>IF($J45=1,H45,"")</f>
        <v>13.9</v>
      </c>
      <c r="Z45">
        <f>IF($J245=0,H245,"")</f>
        <v>2</v>
      </c>
    </row>
    <row r="46" spans="1:40" x14ac:dyDescent="0.3">
      <c r="A46">
        <v>361</v>
      </c>
      <c r="B46" t="s">
        <v>64</v>
      </c>
      <c r="C46">
        <v>3</v>
      </c>
      <c r="D46" s="5">
        <v>28318</v>
      </c>
      <c r="E46" t="s">
        <v>67</v>
      </c>
      <c r="F46" s="5">
        <v>3966</v>
      </c>
      <c r="G46">
        <v>80</v>
      </c>
      <c r="H46">
        <v>2.2999999999999998</v>
      </c>
      <c r="I46">
        <v>0.39112475328172158</v>
      </c>
      <c r="J46">
        <v>1</v>
      </c>
      <c r="M46" s="6"/>
      <c r="S46" s="5">
        <f>IF($J46=1,D46,"")</f>
        <v>28318</v>
      </c>
      <c r="T46" s="5">
        <f>IF($J246=0, D246,"")</f>
        <v>27245</v>
      </c>
      <c r="U46" s="5">
        <f>IF($J46=1,F46,"")</f>
        <v>3966</v>
      </c>
      <c r="V46" s="5">
        <f>IF($J246=0,F246,"")</f>
        <v>5381</v>
      </c>
      <c r="W46" s="5">
        <f>IF($J46=1,G46,"")</f>
        <v>80</v>
      </c>
      <c r="X46">
        <f>IF($J246=0,G246,"")</f>
        <v>41</v>
      </c>
      <c r="Y46">
        <f>IF($J46=1,H46,"")</f>
        <v>2.2999999999999998</v>
      </c>
      <c r="Z46">
        <f>IF($J246=0,H246,"")</f>
        <v>4.9000000000000004</v>
      </c>
    </row>
    <row r="47" spans="1:40" x14ac:dyDescent="0.3">
      <c r="A47">
        <v>282</v>
      </c>
      <c r="B47" t="s">
        <v>63</v>
      </c>
      <c r="C47">
        <v>7</v>
      </c>
      <c r="D47" s="5">
        <v>35952</v>
      </c>
      <c r="E47" t="s">
        <v>67</v>
      </c>
      <c r="F47" s="5">
        <v>5592</v>
      </c>
      <c r="G47">
        <v>47</v>
      </c>
      <c r="H47">
        <v>3.8</v>
      </c>
      <c r="I47">
        <v>0.92353040635284267</v>
      </c>
      <c r="J47">
        <v>1</v>
      </c>
      <c r="M47" s="6"/>
      <c r="S47" s="5">
        <f>IF($J47=1,D47,"")</f>
        <v>35952</v>
      </c>
      <c r="T47" s="5">
        <f>IF($J247=0, D247,"")</f>
        <v>19328</v>
      </c>
      <c r="U47" s="5">
        <f>IF($J47=1,F47,"")</f>
        <v>5592</v>
      </c>
      <c r="V47" s="5">
        <f>IF($J247=0,F247,"")</f>
        <v>4965</v>
      </c>
      <c r="W47" s="5">
        <f>IF($J47=1,G47,"")</f>
        <v>47</v>
      </c>
      <c r="X47">
        <f>IF($J247=0,G247,"")</f>
        <v>45</v>
      </c>
      <c r="Y47">
        <f>IF($J47=1,H47,"")</f>
        <v>3.8</v>
      </c>
      <c r="Z47">
        <f>IF($J247=0,H247,"")</f>
        <v>0.9</v>
      </c>
    </row>
    <row r="48" spans="1:40" x14ac:dyDescent="0.3">
      <c r="A48">
        <v>220</v>
      </c>
      <c r="B48" t="s">
        <v>65</v>
      </c>
      <c r="C48">
        <v>8</v>
      </c>
      <c r="D48" s="5">
        <v>28027</v>
      </c>
      <c r="E48" t="s">
        <v>67</v>
      </c>
      <c r="F48" s="5">
        <v>6157</v>
      </c>
      <c r="G48">
        <v>39</v>
      </c>
      <c r="H48">
        <v>5.5</v>
      </c>
      <c r="I48">
        <v>0.62877575974585365</v>
      </c>
      <c r="J48">
        <v>1</v>
      </c>
      <c r="M48" s="6"/>
      <c r="S48" s="5">
        <f>IF($J48=1,D48,"")</f>
        <v>28027</v>
      </c>
      <c r="T48" s="5">
        <f>IF($J248=0, D248,"")</f>
        <v>15564</v>
      </c>
      <c r="U48" s="5">
        <f>IF($J48=1,F48,"")</f>
        <v>6157</v>
      </c>
      <c r="V48" s="5">
        <f>IF($J248=0,F248,"")</f>
        <v>3675</v>
      </c>
      <c r="W48" s="5">
        <f>IF($J48=1,G48,"")</f>
        <v>39</v>
      </c>
      <c r="X48">
        <f>IF($J248=0,G248,"")</f>
        <v>35</v>
      </c>
      <c r="Y48">
        <f>IF($J48=1,H48,"")</f>
        <v>5.5</v>
      </c>
      <c r="Z48">
        <f>IF($J248=0,H248,"")</f>
        <v>13.8</v>
      </c>
    </row>
    <row r="49" spans="1:26" x14ac:dyDescent="0.3">
      <c r="A49">
        <v>154</v>
      </c>
      <c r="B49" t="s">
        <v>64</v>
      </c>
      <c r="C49">
        <v>8</v>
      </c>
      <c r="D49" s="5">
        <v>29168</v>
      </c>
      <c r="E49" t="s">
        <v>67</v>
      </c>
      <c r="F49" s="5">
        <v>6445</v>
      </c>
      <c r="G49">
        <v>74</v>
      </c>
      <c r="H49">
        <v>10.9</v>
      </c>
      <c r="I49">
        <v>0.34868983204242743</v>
      </c>
      <c r="J49">
        <v>1</v>
      </c>
      <c r="M49" s="6"/>
      <c r="S49" s="5">
        <f>IF($J49=1,D49,"")</f>
        <v>29168</v>
      </c>
      <c r="T49" s="5">
        <f>IF($J249=0, D249,"")</f>
        <v>42549</v>
      </c>
      <c r="U49" s="5">
        <f>IF($J49=1,F49,"")</f>
        <v>6445</v>
      </c>
      <c r="V49" s="5">
        <f>IF($J249=0,F249,"")</f>
        <v>5192</v>
      </c>
      <c r="W49" s="5">
        <f>IF($J49=1,G49,"")</f>
        <v>74</v>
      </c>
      <c r="X49">
        <f>IF($J249=0,G249,"")</f>
        <v>97</v>
      </c>
      <c r="Y49">
        <f>IF($J49=1,H49,"")</f>
        <v>10.9</v>
      </c>
      <c r="Z49">
        <f>IF($J249=0,H249,"")</f>
        <v>0.8</v>
      </c>
    </row>
    <row r="50" spans="1:26" x14ac:dyDescent="0.3">
      <c r="A50">
        <v>270</v>
      </c>
      <c r="B50" t="s">
        <v>63</v>
      </c>
      <c r="C50">
        <v>7</v>
      </c>
      <c r="D50" s="5">
        <v>23926</v>
      </c>
      <c r="E50" t="s">
        <v>68</v>
      </c>
      <c r="F50" s="5">
        <v>5414</v>
      </c>
      <c r="G50">
        <v>96</v>
      </c>
      <c r="H50">
        <v>6.2</v>
      </c>
      <c r="I50">
        <v>0.73471644899829314</v>
      </c>
      <c r="J50">
        <v>1</v>
      </c>
      <c r="M50" s="6"/>
      <c r="S50" s="5">
        <f>IF($J50=1,D50,"")</f>
        <v>23926</v>
      </c>
      <c r="T50" s="5">
        <f>IF($J250=0, D250,"")</f>
        <v>31357</v>
      </c>
      <c r="U50" s="5">
        <f>IF($J50=1,F50,"")</f>
        <v>5414</v>
      </c>
      <c r="V50" s="5">
        <f>IF($J250=0,F250,"")</f>
        <v>6029</v>
      </c>
      <c r="W50" s="5">
        <f>IF($J50=1,G50,"")</f>
        <v>96</v>
      </c>
      <c r="X50">
        <f>IF($J250=0,G250,"")</f>
        <v>34</v>
      </c>
      <c r="Y50">
        <f>IF($J50=1,H50,"")</f>
        <v>6.2</v>
      </c>
      <c r="Z50">
        <f>IF($J250=0,H250,"")</f>
        <v>8.8000000000000007</v>
      </c>
    </row>
    <row r="51" spans="1:26" x14ac:dyDescent="0.3">
      <c r="A51">
        <v>365</v>
      </c>
      <c r="B51" t="s">
        <v>63</v>
      </c>
      <c r="C51">
        <v>3</v>
      </c>
      <c r="D51" s="5">
        <v>26414</v>
      </c>
      <c r="E51" t="s">
        <v>68</v>
      </c>
      <c r="F51" s="5">
        <v>4421</v>
      </c>
      <c r="G51">
        <v>64</v>
      </c>
      <c r="H51">
        <v>13.1</v>
      </c>
      <c r="I51">
        <v>8.4978175242223064E-2</v>
      </c>
      <c r="J51">
        <v>1</v>
      </c>
      <c r="M51" s="6"/>
      <c r="S51" s="5">
        <f>IF($J51=1,D51,"")</f>
        <v>26414</v>
      </c>
      <c r="T51" s="5">
        <f>IF($J251=0, D251,"")</f>
        <v>34373</v>
      </c>
      <c r="U51" s="5">
        <f>IF($J51=1,F51,"")</f>
        <v>4421</v>
      </c>
      <c r="V51" s="5">
        <f>IF($J251=0,F251,"")</f>
        <v>3759</v>
      </c>
      <c r="W51" s="5">
        <f>IF($J51=1,G51,"")</f>
        <v>64</v>
      </c>
      <c r="X51">
        <f>IF($J251=0,G251,"")</f>
        <v>111</v>
      </c>
      <c r="Y51">
        <f>IF($J51=1,H51,"")</f>
        <v>13.1</v>
      </c>
      <c r="Z51">
        <f>IF($J251=0,H251,"")</f>
        <v>4.8</v>
      </c>
    </row>
    <row r="52" spans="1:26" x14ac:dyDescent="0.3">
      <c r="A52">
        <v>294</v>
      </c>
      <c r="B52" t="s">
        <v>62</v>
      </c>
      <c r="C52">
        <v>4</v>
      </c>
      <c r="D52" s="5">
        <v>28132</v>
      </c>
      <c r="E52" t="s">
        <v>68</v>
      </c>
      <c r="F52" s="5">
        <v>3576</v>
      </c>
      <c r="G52">
        <v>98</v>
      </c>
      <c r="H52">
        <v>11</v>
      </c>
      <c r="I52">
        <v>0.35422668167309035</v>
      </c>
      <c r="J52">
        <v>1</v>
      </c>
      <c r="M52" s="6"/>
      <c r="S52" s="5">
        <f>IF($J52=1,D52,"")</f>
        <v>28132</v>
      </c>
      <c r="T52" s="5">
        <f>IF($J252=0, D252,"")</f>
        <v>32562</v>
      </c>
      <c r="U52" s="5">
        <f>IF($J52=1,F52,"")</f>
        <v>3576</v>
      </c>
      <c r="V52" s="5">
        <f>IF($J252=0,F252,"")</f>
        <v>3908</v>
      </c>
      <c r="W52" s="5">
        <f>IF($J52=1,G52,"")</f>
        <v>98</v>
      </c>
      <c r="X52">
        <f>IF($J252=0,G252,"")</f>
        <v>24</v>
      </c>
      <c r="Y52">
        <f>IF($J52=1,H52,"")</f>
        <v>11</v>
      </c>
      <c r="Z52">
        <f>IF($J252=0,H252,"")</f>
        <v>10.8</v>
      </c>
    </row>
    <row r="53" spans="1:26" x14ac:dyDescent="0.3">
      <c r="A53">
        <v>345</v>
      </c>
      <c r="B53" t="s">
        <v>64</v>
      </c>
      <c r="C53">
        <v>3</v>
      </c>
      <c r="D53" s="5">
        <v>24212</v>
      </c>
      <c r="E53" t="s">
        <v>68</v>
      </c>
      <c r="F53" s="5">
        <v>3013</v>
      </c>
      <c r="G53">
        <v>85</v>
      </c>
      <c r="H53">
        <v>1.7</v>
      </c>
      <c r="I53">
        <v>0.17820947353911365</v>
      </c>
      <c r="J53">
        <v>1</v>
      </c>
      <c r="M53" s="6"/>
      <c r="S53" s="5">
        <f>IF($J53=1,D53,"")</f>
        <v>24212</v>
      </c>
      <c r="T53" s="5">
        <f>IF($J253=0, D253,"")</f>
        <v>23284</v>
      </c>
      <c r="U53" s="5">
        <f>IF($J53=1,F53,"")</f>
        <v>3013</v>
      </c>
      <c r="V53" s="5">
        <f>IF($J253=0,F253,"")</f>
        <v>5463</v>
      </c>
      <c r="W53" s="5">
        <f>IF($J53=1,G53,"")</f>
        <v>85</v>
      </c>
      <c r="X53">
        <f>IF($J253=0,G253,"")</f>
        <v>42</v>
      </c>
      <c r="Y53">
        <f>IF($J53=1,H53,"")</f>
        <v>1.7</v>
      </c>
      <c r="Z53">
        <f>IF($J253=0,H253,"")</f>
        <v>12.8</v>
      </c>
    </row>
    <row r="54" spans="1:26" x14ac:dyDescent="0.3">
      <c r="A54">
        <v>115</v>
      </c>
      <c r="B54" t="s">
        <v>63</v>
      </c>
      <c r="C54">
        <v>3</v>
      </c>
      <c r="D54" s="5">
        <v>29418</v>
      </c>
      <c r="E54" t="s">
        <v>68</v>
      </c>
      <c r="F54" s="5">
        <v>3187</v>
      </c>
      <c r="G54">
        <v>76</v>
      </c>
      <c r="H54">
        <v>10.8</v>
      </c>
      <c r="I54">
        <v>0.79800845268814657</v>
      </c>
      <c r="J54">
        <v>1</v>
      </c>
      <c r="M54" s="6"/>
      <c r="S54" s="5">
        <f>IF($J54=1,D54,"")</f>
        <v>29418</v>
      </c>
      <c r="T54" s="5">
        <f>IF($J254=0, D254,"")</f>
        <v>30281</v>
      </c>
      <c r="U54" s="5">
        <f>IF($J54=1,F54,"")</f>
        <v>3187</v>
      </c>
      <c r="V54" s="5">
        <f>IF($J254=0,F254,"")</f>
        <v>5250</v>
      </c>
      <c r="W54" s="5">
        <f>IF($J54=1,G54,"")</f>
        <v>76</v>
      </c>
      <c r="X54">
        <f>IF($J254=0,G254,"")</f>
        <v>29</v>
      </c>
      <c r="Y54">
        <f>IF($J54=1,H54,"")</f>
        <v>10.8</v>
      </c>
      <c r="Z54">
        <f>IF($J254=0,H254,"")</f>
        <v>1.3</v>
      </c>
    </row>
    <row r="55" spans="1:26" x14ac:dyDescent="0.3">
      <c r="A55">
        <v>16</v>
      </c>
      <c r="B55" t="s">
        <v>65</v>
      </c>
      <c r="C55">
        <v>6</v>
      </c>
      <c r="D55" s="5">
        <v>31194</v>
      </c>
      <c r="E55" t="s">
        <v>67</v>
      </c>
      <c r="F55" s="5">
        <v>4190</v>
      </c>
      <c r="G55">
        <v>17</v>
      </c>
      <c r="H55">
        <v>3.6</v>
      </c>
      <c r="I55">
        <v>0.36208686286568914</v>
      </c>
      <c r="J55">
        <v>1</v>
      </c>
      <c r="M55" s="6"/>
      <c r="S55" s="5">
        <f>IF($J55=1,D55,"")</f>
        <v>31194</v>
      </c>
      <c r="T55" s="5">
        <f>IF($J255=0, D255,"")</f>
        <v>27076</v>
      </c>
      <c r="U55" s="5">
        <f>IF($J55=1,F55,"")</f>
        <v>4190</v>
      </c>
      <c r="V55" s="5">
        <f>IF($J255=0,F255,"")</f>
        <v>4289</v>
      </c>
      <c r="W55" s="5">
        <f>IF($J55=1,G55,"")</f>
        <v>17</v>
      </c>
      <c r="X55">
        <f>IF($J255=0,G255,"")</f>
        <v>15</v>
      </c>
      <c r="Y55">
        <f>IF($J55=1,H55,"")</f>
        <v>3.6</v>
      </c>
      <c r="Z55">
        <f>IF($J255=0,H255,"")</f>
        <v>13.9</v>
      </c>
    </row>
    <row r="56" spans="1:26" x14ac:dyDescent="0.3">
      <c r="A56">
        <v>83</v>
      </c>
      <c r="B56" t="s">
        <v>63</v>
      </c>
      <c r="C56">
        <v>8</v>
      </c>
      <c r="D56" s="5">
        <v>46070</v>
      </c>
      <c r="E56" t="s">
        <v>68</v>
      </c>
      <c r="F56" s="5">
        <v>5845</v>
      </c>
      <c r="G56">
        <v>50</v>
      </c>
      <c r="H56">
        <v>12.6</v>
      </c>
      <c r="I56">
        <v>0.99005488533062869</v>
      </c>
      <c r="J56">
        <v>1</v>
      </c>
      <c r="M56" s="6"/>
      <c r="S56" s="5">
        <f>IF($J56=1,D56,"")</f>
        <v>46070</v>
      </c>
      <c r="T56" s="5">
        <f>IF($J256=0, D256,"")</f>
        <v>30471</v>
      </c>
      <c r="U56" s="5">
        <f>IF($J56=1,F56,"")</f>
        <v>5845</v>
      </c>
      <c r="V56" s="5">
        <f>IF($J256=0,F256,"")</f>
        <v>5624</v>
      </c>
      <c r="W56" s="5">
        <f>IF($J56=1,G56,"")</f>
        <v>50</v>
      </c>
      <c r="X56">
        <f>IF($J256=0,G256,"")</f>
        <v>39</v>
      </c>
      <c r="Y56">
        <f>IF($J56=1,H56,"")</f>
        <v>12.6</v>
      </c>
      <c r="Z56">
        <f>IF($J256=0,H256,"")</f>
        <v>7.4</v>
      </c>
    </row>
    <row r="57" spans="1:26" x14ac:dyDescent="0.3">
      <c r="A57">
        <v>121</v>
      </c>
      <c r="B57" t="s">
        <v>65</v>
      </c>
      <c r="C57">
        <v>6</v>
      </c>
      <c r="D57" s="5">
        <v>43132</v>
      </c>
      <c r="E57" t="s">
        <v>69</v>
      </c>
      <c r="F57" s="5">
        <v>5928</v>
      </c>
      <c r="G57">
        <v>118</v>
      </c>
      <c r="H57">
        <v>12.4</v>
      </c>
      <c r="I57">
        <v>0.82831597667626111</v>
      </c>
      <c r="J57">
        <v>1</v>
      </c>
      <c r="M57" s="6"/>
      <c r="S57" s="5">
        <f>IF($J57=1,D57,"")</f>
        <v>43132</v>
      </c>
      <c r="T57" s="5">
        <f>IF($J257=0, D257,"")</f>
        <v>30771</v>
      </c>
      <c r="U57" s="5">
        <f>IF($J57=1,F57,"")</f>
        <v>5928</v>
      </c>
      <c r="V57" s="5">
        <f>IF($J257=0,F257,"")</f>
        <v>3723</v>
      </c>
      <c r="W57" s="5">
        <f>IF($J57=1,G57,"")</f>
        <v>118</v>
      </c>
      <c r="X57">
        <f>IF($J257=0,G257,"")</f>
        <v>34</v>
      </c>
      <c r="Y57">
        <f>IF($J57=1,H57,"")</f>
        <v>12.4</v>
      </c>
      <c r="Z57">
        <f>IF($J257=0,H257,"")</f>
        <v>2.9</v>
      </c>
    </row>
    <row r="58" spans="1:26" x14ac:dyDescent="0.3">
      <c r="A58">
        <v>27</v>
      </c>
      <c r="B58" t="s">
        <v>62</v>
      </c>
      <c r="C58">
        <v>5</v>
      </c>
      <c r="D58" s="5">
        <v>26959</v>
      </c>
      <c r="E58" t="s">
        <v>69</v>
      </c>
      <c r="F58" s="5">
        <v>4259</v>
      </c>
      <c r="G58">
        <v>17</v>
      </c>
      <c r="H58">
        <v>14.3</v>
      </c>
      <c r="I58">
        <v>0.74639450960952336</v>
      </c>
      <c r="J58">
        <v>1</v>
      </c>
      <c r="M58" s="6"/>
      <c r="S58" s="5">
        <f>IF($J58=1,D58,"")</f>
        <v>26959</v>
      </c>
      <c r="T58" s="5">
        <f>IF($J258=0, D258,"")</f>
        <v>30406</v>
      </c>
      <c r="U58" s="5">
        <f>IF($J58=1,F58,"")</f>
        <v>4259</v>
      </c>
      <c r="V58" s="5">
        <f>IF($J258=0,F258,"")</f>
        <v>4369</v>
      </c>
      <c r="W58" s="5">
        <f>IF($J58=1,G58,"")</f>
        <v>17</v>
      </c>
      <c r="X58">
        <f>IF($J258=0,G258,"")</f>
        <v>97</v>
      </c>
      <c r="Y58">
        <f>IF($J58=1,H58,"")</f>
        <v>14.3</v>
      </c>
      <c r="Z58">
        <f>IF($J258=0,H258,"")</f>
        <v>0.5</v>
      </c>
    </row>
    <row r="59" spans="1:26" x14ac:dyDescent="0.3">
      <c r="A59">
        <v>362</v>
      </c>
      <c r="B59" t="s">
        <v>65</v>
      </c>
      <c r="C59">
        <v>2</v>
      </c>
      <c r="D59" s="5">
        <v>31159</v>
      </c>
      <c r="E59" t="s">
        <v>66</v>
      </c>
      <c r="F59" s="5">
        <v>4690</v>
      </c>
      <c r="G59">
        <v>37</v>
      </c>
      <c r="H59">
        <v>11.3</v>
      </c>
      <c r="I59">
        <v>0.63634051764954747</v>
      </c>
      <c r="J59">
        <v>1</v>
      </c>
      <c r="M59" s="6"/>
      <c r="S59" s="5">
        <f>IF($J59=1,D59,"")</f>
        <v>31159</v>
      </c>
      <c r="T59" s="5">
        <f>IF($J259=0, D259,"")</f>
        <v>20753</v>
      </c>
      <c r="U59" s="5">
        <f>IF($J59=1,F59,"")</f>
        <v>4690</v>
      </c>
      <c r="V59" s="5">
        <f>IF($J259=0,F259,"")</f>
        <v>5538</v>
      </c>
      <c r="W59" s="5">
        <f>IF($J59=1,G59,"")</f>
        <v>37</v>
      </c>
      <c r="X59">
        <f>IF($J259=0,G259,"")</f>
        <v>106</v>
      </c>
      <c r="Y59">
        <f>IF($J59=1,H59,"")</f>
        <v>11.3</v>
      </c>
      <c r="Z59">
        <f>IF($J259=0,H259,"")</f>
        <v>11.1</v>
      </c>
    </row>
    <row r="60" spans="1:26" x14ac:dyDescent="0.3">
      <c r="A60">
        <v>230</v>
      </c>
      <c r="B60" t="s">
        <v>63</v>
      </c>
      <c r="C60">
        <v>2</v>
      </c>
      <c r="D60" s="5">
        <v>23657</v>
      </c>
      <c r="E60" t="s">
        <v>68</v>
      </c>
      <c r="F60" s="5">
        <v>2641</v>
      </c>
      <c r="G60">
        <v>55</v>
      </c>
      <c r="H60">
        <v>14.2</v>
      </c>
      <c r="I60">
        <v>0.11958014662438876</v>
      </c>
      <c r="J60">
        <v>1</v>
      </c>
      <c r="M60" s="6"/>
      <c r="S60" s="5">
        <f>IF($J60=1,D60,"")</f>
        <v>23657</v>
      </c>
      <c r="T60" s="5">
        <f>IF($J260=0, D260,"")</f>
        <v>22652</v>
      </c>
      <c r="U60" s="5">
        <f>IF($J60=1,F60,"")</f>
        <v>2641</v>
      </c>
      <c r="V60" s="5">
        <f>IF($J260=0,F260,"")</f>
        <v>4832</v>
      </c>
      <c r="W60" s="5">
        <f>IF($J60=1,G60,"")</f>
        <v>55</v>
      </c>
      <c r="X60">
        <f>IF($J260=0,G260,"")</f>
        <v>26</v>
      </c>
      <c r="Y60">
        <f>IF($J60=1,H60,"")</f>
        <v>14.2</v>
      </c>
      <c r="Z60">
        <f>IF($J260=0,H260,"")</f>
        <v>2.5</v>
      </c>
    </row>
    <row r="61" spans="1:26" x14ac:dyDescent="0.3">
      <c r="A61">
        <v>247</v>
      </c>
      <c r="B61" t="s">
        <v>63</v>
      </c>
      <c r="C61">
        <v>7</v>
      </c>
      <c r="D61" s="5">
        <v>29985</v>
      </c>
      <c r="E61" t="s">
        <v>68</v>
      </c>
      <c r="F61" s="5">
        <v>4499</v>
      </c>
      <c r="G61">
        <v>45</v>
      </c>
      <c r="H61">
        <v>7.1</v>
      </c>
      <c r="I61">
        <v>0.30566444599829867</v>
      </c>
      <c r="J61">
        <v>1</v>
      </c>
      <c r="M61" s="6"/>
      <c r="S61" s="5">
        <f>IF($J61=1,D61,"")</f>
        <v>29985</v>
      </c>
      <c r="T61" s="5">
        <f>IF($J261=0, D261,"")</f>
        <v>30415</v>
      </c>
      <c r="U61" s="5">
        <f>IF($J61=1,F61,"")</f>
        <v>4499</v>
      </c>
      <c r="V61" s="5">
        <f>IF($J261=0,F261,"")</f>
        <v>4319</v>
      </c>
      <c r="W61" s="5">
        <f>IF($J61=1,G61,"")</f>
        <v>45</v>
      </c>
      <c r="X61">
        <f>IF($J261=0,G261,"")</f>
        <v>91</v>
      </c>
      <c r="Y61">
        <f>IF($J61=1,H61,"")</f>
        <v>7.1</v>
      </c>
      <c r="Z61">
        <f>IF($J261=0,H261,"")</f>
        <v>3.3</v>
      </c>
    </row>
    <row r="62" spans="1:26" x14ac:dyDescent="0.3">
      <c r="A62">
        <v>252</v>
      </c>
      <c r="B62" t="s">
        <v>62</v>
      </c>
      <c r="C62">
        <v>8</v>
      </c>
      <c r="D62" s="5">
        <v>27990</v>
      </c>
      <c r="E62" t="s">
        <v>66</v>
      </c>
      <c r="F62" s="5">
        <v>6195</v>
      </c>
      <c r="G62">
        <v>46</v>
      </c>
      <c r="H62">
        <v>3.3</v>
      </c>
      <c r="I62">
        <v>0.89049115512859478</v>
      </c>
      <c r="J62">
        <v>1</v>
      </c>
      <c r="M62" s="6"/>
      <c r="S62" s="5">
        <f>IF($J62=1,D62,"")</f>
        <v>27990</v>
      </c>
      <c r="T62" s="5">
        <f>IF($J262=0, D262,"")</f>
        <v>36906</v>
      </c>
      <c r="U62" s="5">
        <f>IF($J62=1,F62,"")</f>
        <v>6195</v>
      </c>
      <c r="V62" s="5">
        <f>IF($J262=0,F262,"")</f>
        <v>4259</v>
      </c>
      <c r="W62" s="5">
        <f>IF($J62=1,G62,"")</f>
        <v>46</v>
      </c>
      <c r="X62">
        <f>IF($J262=0,G262,"")</f>
        <v>88</v>
      </c>
      <c r="Y62">
        <f>IF($J62=1,H62,"")</f>
        <v>3.3</v>
      </c>
      <c r="Z62">
        <f>IF($J262=0,H262,"")</f>
        <v>8</v>
      </c>
    </row>
    <row r="63" spans="1:26" x14ac:dyDescent="0.3">
      <c r="A63">
        <v>190</v>
      </c>
      <c r="B63" t="s">
        <v>65</v>
      </c>
      <c r="C63">
        <v>2</v>
      </c>
      <c r="D63" s="5">
        <v>36849</v>
      </c>
      <c r="E63" t="s">
        <v>67</v>
      </c>
      <c r="F63" s="5">
        <v>4257</v>
      </c>
      <c r="G63">
        <v>107</v>
      </c>
      <c r="H63">
        <v>4.4000000000000004</v>
      </c>
      <c r="I63">
        <v>0.87683929874933819</v>
      </c>
      <c r="J63">
        <v>1</v>
      </c>
      <c r="M63" s="6"/>
      <c r="S63" s="5">
        <f>IF($J63=1,D63,"")</f>
        <v>36849</v>
      </c>
      <c r="T63" s="5">
        <f>IF($J263=0, D263,"")</f>
        <v>18184</v>
      </c>
      <c r="U63" s="5">
        <f>IF($J63=1,F63,"")</f>
        <v>4257</v>
      </c>
      <c r="V63" s="5">
        <f>IF($J263=0,F263,"")</f>
        <v>6262</v>
      </c>
      <c r="W63" s="5">
        <f>IF($J63=1,G63,"")</f>
        <v>107</v>
      </c>
      <c r="X63">
        <f>IF($J263=0,G263,"")</f>
        <v>115</v>
      </c>
      <c r="Y63">
        <f>IF($J63=1,H63,"")</f>
        <v>4.4000000000000004</v>
      </c>
      <c r="Z63">
        <f>IF($J263=0,H263,"")</f>
        <v>5.5</v>
      </c>
    </row>
    <row r="64" spans="1:26" x14ac:dyDescent="0.3">
      <c r="A64">
        <v>251</v>
      </c>
      <c r="B64" t="s">
        <v>62</v>
      </c>
      <c r="C64">
        <v>5</v>
      </c>
      <c r="D64" s="5">
        <v>19933</v>
      </c>
      <c r="E64" t="s">
        <v>68</v>
      </c>
      <c r="F64" s="5">
        <v>5299</v>
      </c>
      <c r="G64">
        <v>113</v>
      </c>
      <c r="H64">
        <v>7.8</v>
      </c>
      <c r="I64">
        <v>0.5892561793759179</v>
      </c>
      <c r="J64">
        <v>1</v>
      </c>
      <c r="M64" s="6"/>
      <c r="S64" s="5">
        <f>IF($J64=1,D64,"")</f>
        <v>19933</v>
      </c>
      <c r="T64" s="5">
        <f>IF($J264=0, D264,"")</f>
        <v>29131</v>
      </c>
      <c r="U64" s="5">
        <f>IF($J64=1,F64,"")</f>
        <v>5299</v>
      </c>
      <c r="V64" s="5">
        <f>IF($J264=0,F264,"")</f>
        <v>5997</v>
      </c>
      <c r="W64" s="5">
        <f>IF($J64=1,G64,"")</f>
        <v>113</v>
      </c>
      <c r="X64">
        <f>IF($J264=0,G264,"")</f>
        <v>23</v>
      </c>
      <c r="Y64">
        <f>IF($J64=1,H64,"")</f>
        <v>7.8</v>
      </c>
      <c r="Z64">
        <f>IF($J264=0,H264,"")</f>
        <v>8.6</v>
      </c>
    </row>
    <row r="65" spans="1:26" x14ac:dyDescent="0.3">
      <c r="A65">
        <v>376</v>
      </c>
      <c r="B65" t="s">
        <v>65</v>
      </c>
      <c r="C65">
        <v>8</v>
      </c>
      <c r="D65" s="5">
        <v>25072</v>
      </c>
      <c r="E65" t="s">
        <v>67</v>
      </c>
      <c r="F65" s="5">
        <v>7121</v>
      </c>
      <c r="G65">
        <v>101</v>
      </c>
      <c r="H65">
        <v>2.4</v>
      </c>
      <c r="I65">
        <v>0.82118100808922712</v>
      </c>
      <c r="J65">
        <v>1</v>
      </c>
      <c r="M65" s="6"/>
      <c r="S65" s="5">
        <f>IF($J65=1,D65,"")</f>
        <v>25072</v>
      </c>
      <c r="T65" s="5">
        <f>IF($J265=0, D265,"")</f>
        <v>40275</v>
      </c>
      <c r="U65" s="5">
        <f>IF($J65=1,F65,"")</f>
        <v>7121</v>
      </c>
      <c r="V65" s="5">
        <f>IF($J265=0,F265,"")</f>
        <v>5023</v>
      </c>
      <c r="W65" s="5">
        <f>IF($J65=1,G65,"")</f>
        <v>101</v>
      </c>
      <c r="X65">
        <f>IF($J265=0,G265,"")</f>
        <v>86</v>
      </c>
      <c r="Y65">
        <f>IF($J65=1,H65,"")</f>
        <v>2.4</v>
      </c>
      <c r="Z65">
        <f>IF($J265=0,H265,"")</f>
        <v>13.4</v>
      </c>
    </row>
    <row r="66" spans="1:26" x14ac:dyDescent="0.3">
      <c r="A66">
        <v>191</v>
      </c>
      <c r="B66" t="s">
        <v>65</v>
      </c>
      <c r="C66">
        <v>3</v>
      </c>
      <c r="D66" s="5">
        <v>44572</v>
      </c>
      <c r="E66" t="s">
        <v>68</v>
      </c>
      <c r="F66" s="5">
        <v>4082</v>
      </c>
      <c r="G66">
        <v>53</v>
      </c>
      <c r="H66">
        <v>13.4</v>
      </c>
      <c r="I66">
        <v>0.66381046987432324</v>
      </c>
      <c r="J66">
        <v>1</v>
      </c>
      <c r="M66" s="6"/>
      <c r="S66" s="5">
        <f>IF($J66=1,D66,"")</f>
        <v>44572</v>
      </c>
      <c r="T66" s="5">
        <f>IF($J266=0, D266,"")</f>
        <v>32073</v>
      </c>
      <c r="U66" s="5">
        <f>IF($J66=1,F66,"")</f>
        <v>4082</v>
      </c>
      <c r="V66" s="5">
        <f>IF($J266=0,F266,"")</f>
        <v>4350</v>
      </c>
      <c r="W66" s="5">
        <f>IF($J66=1,G66,"")</f>
        <v>53</v>
      </c>
      <c r="X66">
        <f>IF($J266=0,G266,"")</f>
        <v>22</v>
      </c>
      <c r="Y66">
        <f>IF($J66=1,H66,"")</f>
        <v>13.4</v>
      </c>
      <c r="Z66">
        <f>IF($J266=0,H266,"")</f>
        <v>2.2999999999999998</v>
      </c>
    </row>
    <row r="67" spans="1:26" x14ac:dyDescent="0.3">
      <c r="A67">
        <v>173</v>
      </c>
      <c r="B67" t="s">
        <v>65</v>
      </c>
      <c r="C67">
        <v>3</v>
      </c>
      <c r="D67" s="5">
        <v>24789</v>
      </c>
      <c r="E67" t="s">
        <v>67</v>
      </c>
      <c r="F67" s="5">
        <v>4053</v>
      </c>
      <c r="G67">
        <v>102</v>
      </c>
      <c r="H67">
        <v>14.4</v>
      </c>
      <c r="I67">
        <v>0.72289444846711326</v>
      </c>
      <c r="J67">
        <v>1</v>
      </c>
      <c r="M67" s="6"/>
      <c r="S67" s="5">
        <f>IF($J67=1,D67,"")</f>
        <v>24789</v>
      </c>
      <c r="T67" s="5">
        <f>IF($J267=0, D267,"")</f>
        <v>16786</v>
      </c>
      <c r="U67" s="5">
        <f>IF($J67=1,F67,"")</f>
        <v>4053</v>
      </c>
      <c r="V67" s="5">
        <f>IF($J267=0,F267,"")</f>
        <v>3751</v>
      </c>
      <c r="W67" s="5">
        <f>IF($J67=1,G67,"")</f>
        <v>102</v>
      </c>
      <c r="X67">
        <f>IF($J267=0,G267,"")</f>
        <v>114</v>
      </c>
      <c r="Y67">
        <f>IF($J67=1,H67,"")</f>
        <v>14.4</v>
      </c>
      <c r="Z67">
        <f>IF($J267=0,H267,"")</f>
        <v>10.3</v>
      </c>
    </row>
    <row r="68" spans="1:26" x14ac:dyDescent="0.3">
      <c r="A68">
        <v>333</v>
      </c>
      <c r="B68" t="s">
        <v>62</v>
      </c>
      <c r="C68">
        <v>4</v>
      </c>
      <c r="D68" s="5">
        <v>27269</v>
      </c>
      <c r="E68" t="s">
        <v>68</v>
      </c>
      <c r="F68" s="5">
        <v>5306</v>
      </c>
      <c r="G68">
        <v>76</v>
      </c>
      <c r="H68">
        <v>11.3</v>
      </c>
      <c r="I68">
        <v>0.87998554787099093</v>
      </c>
      <c r="J68">
        <v>1</v>
      </c>
      <c r="M68" s="6"/>
      <c r="S68" s="5">
        <f>IF($J68=1,D68,"")</f>
        <v>27269</v>
      </c>
      <c r="T68" s="5">
        <f>IF($J268=0, D268,"")</f>
        <v>36348</v>
      </c>
      <c r="U68" s="5">
        <f>IF($J68=1,F68,"")</f>
        <v>5306</v>
      </c>
      <c r="V68" s="5">
        <f>IF($J268=0,F268,"")</f>
        <v>5003</v>
      </c>
      <c r="W68" s="5">
        <f>IF($J68=1,G68,"")</f>
        <v>76</v>
      </c>
      <c r="X68">
        <f>IF($J268=0,G268,"")</f>
        <v>111</v>
      </c>
      <c r="Y68">
        <f>IF($J68=1,H68,"")</f>
        <v>11.3</v>
      </c>
      <c r="Z68">
        <f>IF($J268=0,H268,"")</f>
        <v>4.2</v>
      </c>
    </row>
    <row r="69" spans="1:26" x14ac:dyDescent="0.3">
      <c r="A69">
        <v>298</v>
      </c>
      <c r="B69" t="s">
        <v>62</v>
      </c>
      <c r="C69">
        <v>3</v>
      </c>
      <c r="D69" s="5">
        <v>28381</v>
      </c>
      <c r="E69" t="s">
        <v>67</v>
      </c>
      <c r="F69" s="5">
        <v>4065</v>
      </c>
      <c r="G69">
        <v>116</v>
      </c>
      <c r="H69">
        <v>14.2</v>
      </c>
      <c r="I69">
        <v>0.7808308067803742</v>
      </c>
      <c r="J69">
        <v>1</v>
      </c>
      <c r="M69" s="6"/>
      <c r="S69" s="5">
        <f>IF($J69=1,D69,"")</f>
        <v>28381</v>
      </c>
      <c r="T69" s="5">
        <f>IF($J269=0, D269,"")</f>
        <v>31536</v>
      </c>
      <c r="U69" s="5">
        <f>IF($J69=1,F69,"")</f>
        <v>4065</v>
      </c>
      <c r="V69" s="5">
        <f>IF($J269=0,F269,"")</f>
        <v>3997</v>
      </c>
      <c r="W69" s="5">
        <f>IF($J69=1,G69,"")</f>
        <v>116</v>
      </c>
      <c r="X69">
        <f>IF($J269=0,G269,"")</f>
        <v>64</v>
      </c>
      <c r="Y69">
        <f>IF($J69=1,H69,"")</f>
        <v>14.2</v>
      </c>
      <c r="Z69">
        <f>IF($J269=0,H269,"")</f>
        <v>13.7</v>
      </c>
    </row>
    <row r="70" spans="1:26" x14ac:dyDescent="0.3">
      <c r="A70">
        <v>323</v>
      </c>
      <c r="B70" t="s">
        <v>65</v>
      </c>
      <c r="C70">
        <v>6</v>
      </c>
      <c r="D70" s="5">
        <v>34512</v>
      </c>
      <c r="E70" t="s">
        <v>67</v>
      </c>
      <c r="F70" s="5">
        <v>6031</v>
      </c>
      <c r="G70">
        <v>94</v>
      </c>
      <c r="H70">
        <v>6.9</v>
      </c>
      <c r="I70">
        <v>0.48781566453411562</v>
      </c>
      <c r="J70">
        <v>1</v>
      </c>
      <c r="M70" s="6"/>
      <c r="S70" s="5">
        <f>IF($J70=1,D70,"")</f>
        <v>34512</v>
      </c>
      <c r="T70" s="5">
        <f>IF($J270=0, D270,"")</f>
        <v>21769</v>
      </c>
      <c r="U70" s="5">
        <f>IF($J70=1,F70,"")</f>
        <v>6031</v>
      </c>
      <c r="V70" s="5">
        <f>IF($J270=0,F270,"")</f>
        <v>6131</v>
      </c>
      <c r="W70" s="5">
        <f>IF($J70=1,G70,"")</f>
        <v>94</v>
      </c>
      <c r="X70">
        <f>IF($J270=0,G270,"")</f>
        <v>38</v>
      </c>
      <c r="Y70">
        <f>IF($J70=1,H70,"")</f>
        <v>6.9</v>
      </c>
      <c r="Z70">
        <f>IF($J270=0,H270,"")</f>
        <v>3.6</v>
      </c>
    </row>
    <row r="71" spans="1:26" x14ac:dyDescent="0.3">
      <c r="A71">
        <v>377</v>
      </c>
      <c r="B71" t="s">
        <v>63</v>
      </c>
      <c r="C71">
        <v>8</v>
      </c>
      <c r="D71" s="5">
        <v>31381</v>
      </c>
      <c r="E71" t="s">
        <v>67</v>
      </c>
      <c r="F71" s="5">
        <v>6352</v>
      </c>
      <c r="G71">
        <v>33</v>
      </c>
      <c r="H71">
        <v>10</v>
      </c>
      <c r="I71">
        <v>0.40326818793662311</v>
      </c>
      <c r="J71">
        <v>1</v>
      </c>
      <c r="M71" s="6"/>
      <c r="S71" s="5">
        <f>IF($J71=1,D71,"")</f>
        <v>31381</v>
      </c>
      <c r="T71" s="5">
        <f>IF($J271=0, D271,"")</f>
        <v>34621</v>
      </c>
      <c r="U71" s="5">
        <f>IF($J71=1,F71,"")</f>
        <v>6352</v>
      </c>
      <c r="V71" s="5">
        <f>IF($J271=0,F271,"")</f>
        <v>4173</v>
      </c>
      <c r="W71" s="5">
        <f>IF($J71=1,G71,"")</f>
        <v>33</v>
      </c>
      <c r="X71">
        <f>IF($J271=0,G271,"")</f>
        <v>21</v>
      </c>
      <c r="Y71">
        <f>IF($J71=1,H71,"")</f>
        <v>10</v>
      </c>
      <c r="Z71">
        <f>IF($J271=0,H271,"")</f>
        <v>6</v>
      </c>
    </row>
    <row r="72" spans="1:26" x14ac:dyDescent="0.3">
      <c r="A72">
        <v>280</v>
      </c>
      <c r="B72" t="s">
        <v>65</v>
      </c>
      <c r="C72">
        <v>2</v>
      </c>
      <c r="D72" s="5">
        <v>21730</v>
      </c>
      <c r="E72" t="s">
        <v>68</v>
      </c>
      <c r="F72" s="5">
        <v>3155</v>
      </c>
      <c r="G72">
        <v>68</v>
      </c>
      <c r="H72">
        <v>9</v>
      </c>
      <c r="I72">
        <v>0.77711690906503261</v>
      </c>
      <c r="J72">
        <v>1</v>
      </c>
      <c r="M72" s="6"/>
      <c r="S72" s="5">
        <f>IF($J72=1,D72,"")</f>
        <v>21730</v>
      </c>
      <c r="T72" s="5">
        <f>IF($J272=0, D272,"")</f>
        <v>38972</v>
      </c>
      <c r="U72" s="5">
        <f>IF($J72=1,F72,"")</f>
        <v>3155</v>
      </c>
      <c r="V72" s="5">
        <f>IF($J272=0,F272,"")</f>
        <v>5117</v>
      </c>
      <c r="W72" s="5">
        <f>IF($J72=1,G72,"")</f>
        <v>68</v>
      </c>
      <c r="X72">
        <f>IF($J272=0,G272,"")</f>
        <v>73</v>
      </c>
      <c r="Y72">
        <f>IF($J72=1,H72,"")</f>
        <v>9</v>
      </c>
      <c r="Z72">
        <f>IF($J272=0,H272,"")</f>
        <v>3.5</v>
      </c>
    </row>
    <row r="73" spans="1:26" x14ac:dyDescent="0.3">
      <c r="A73">
        <v>174</v>
      </c>
      <c r="B73" t="s">
        <v>65</v>
      </c>
      <c r="C73">
        <v>2</v>
      </c>
      <c r="D73" s="5">
        <v>33903</v>
      </c>
      <c r="E73" t="s">
        <v>68</v>
      </c>
      <c r="F73" s="5">
        <v>2919</v>
      </c>
      <c r="G73">
        <v>27</v>
      </c>
      <c r="H73">
        <v>7.1</v>
      </c>
      <c r="I73">
        <v>0.33530797538567858</v>
      </c>
      <c r="J73">
        <v>1</v>
      </c>
      <c r="M73" s="6"/>
      <c r="S73" s="5">
        <f>IF($J73=1,D73,"")</f>
        <v>33903</v>
      </c>
      <c r="T73" s="5">
        <f>IF($J273=0, D273,"")</f>
        <v>39253</v>
      </c>
      <c r="U73" s="5">
        <f>IF($J73=1,F73,"")</f>
        <v>2919</v>
      </c>
      <c r="V73" s="5">
        <f>IF($J273=0,F273,"")</f>
        <v>4306</v>
      </c>
      <c r="W73" s="5">
        <f>IF($J73=1,G73,"")</f>
        <v>27</v>
      </c>
      <c r="X73">
        <f>IF($J273=0,G273,"")</f>
        <v>43</v>
      </c>
      <c r="Y73">
        <f>IF($J73=1,H73,"")</f>
        <v>7.1</v>
      </c>
      <c r="Z73">
        <f>IF($J273=0,H273,"")</f>
        <v>7.7</v>
      </c>
    </row>
    <row r="74" spans="1:26" x14ac:dyDescent="0.3">
      <c r="A74">
        <v>8</v>
      </c>
      <c r="B74" t="s">
        <v>62</v>
      </c>
      <c r="C74">
        <v>8</v>
      </c>
      <c r="D74" s="5">
        <v>25026</v>
      </c>
      <c r="E74" t="s">
        <v>68</v>
      </c>
      <c r="F74" s="5">
        <v>6299</v>
      </c>
      <c r="G74">
        <v>118</v>
      </c>
      <c r="H74">
        <v>4.8</v>
      </c>
      <c r="I74">
        <v>0.45526631698255626</v>
      </c>
      <c r="J74">
        <v>1</v>
      </c>
      <c r="M74" s="6"/>
      <c r="S74" s="5">
        <f>IF($J74=1,D74,"")</f>
        <v>25026</v>
      </c>
      <c r="T74" s="5">
        <f>IF($J274=0, D274,"")</f>
        <v>32647</v>
      </c>
      <c r="U74" s="5">
        <f>IF($J74=1,F74,"")</f>
        <v>6299</v>
      </c>
      <c r="V74" s="5">
        <f>IF($J274=0,F274,"")</f>
        <v>6784</v>
      </c>
      <c r="W74" s="5">
        <f>IF($J74=1,G74,"")</f>
        <v>118</v>
      </c>
      <c r="X74">
        <f>IF($J274=0,G274,"")</f>
        <v>120</v>
      </c>
      <c r="Y74">
        <f>IF($J74=1,H74,"")</f>
        <v>4.8</v>
      </c>
      <c r="Z74">
        <f>IF($J274=0,H274,"")</f>
        <v>4</v>
      </c>
    </row>
    <row r="75" spans="1:26" x14ac:dyDescent="0.3">
      <c r="A75">
        <v>120</v>
      </c>
      <c r="B75" t="s">
        <v>65</v>
      </c>
      <c r="C75">
        <v>8</v>
      </c>
      <c r="D75" s="5">
        <v>17446</v>
      </c>
      <c r="E75" t="s">
        <v>68</v>
      </c>
      <c r="F75" s="5">
        <v>5035</v>
      </c>
      <c r="G75">
        <v>58</v>
      </c>
      <c r="H75">
        <v>10.4</v>
      </c>
      <c r="I75">
        <v>0.38203166765030372</v>
      </c>
      <c r="J75">
        <v>1</v>
      </c>
      <c r="M75" s="6"/>
      <c r="S75" s="5">
        <f>IF($J75=1,D75,"")</f>
        <v>17446</v>
      </c>
      <c r="T75" s="5">
        <f>IF($J275=0, D275,"")</f>
        <v>20536</v>
      </c>
      <c r="U75" s="5">
        <f>IF($J75=1,F75,"")</f>
        <v>5035</v>
      </c>
      <c r="V75" s="5">
        <f>IF($J275=0,F275,"")</f>
        <v>6213</v>
      </c>
      <c r="W75" s="5">
        <f>IF($J75=1,G75,"")</f>
        <v>58</v>
      </c>
      <c r="X75">
        <f>IF($J275=0,G275,"")</f>
        <v>103</v>
      </c>
      <c r="Y75">
        <f>IF($J75=1,H75,"")</f>
        <v>10.4</v>
      </c>
      <c r="Z75">
        <f>IF($J275=0,H275,"")</f>
        <v>10.199999999999999</v>
      </c>
    </row>
    <row r="76" spans="1:26" x14ac:dyDescent="0.3">
      <c r="A76">
        <v>337</v>
      </c>
      <c r="B76" t="s">
        <v>65</v>
      </c>
      <c r="C76">
        <v>5</v>
      </c>
      <c r="D76" s="5">
        <v>16199</v>
      </c>
      <c r="E76" t="s">
        <v>68</v>
      </c>
      <c r="F76" s="5">
        <v>5259</v>
      </c>
      <c r="G76">
        <v>108</v>
      </c>
      <c r="H76">
        <v>0.8</v>
      </c>
      <c r="I76">
        <v>0.92844022984038932</v>
      </c>
      <c r="J76">
        <v>1</v>
      </c>
      <c r="M76" s="6"/>
      <c r="S76" s="5">
        <f>IF($J76=1,D76,"")</f>
        <v>16199</v>
      </c>
      <c r="T76" s="5">
        <f>IF($J276=0, D276,"")</f>
        <v>30399</v>
      </c>
      <c r="U76" s="5">
        <f>IF($J76=1,F76,"")</f>
        <v>5259</v>
      </c>
      <c r="V76" s="5">
        <f>IF($J276=0,F276,"")</f>
        <v>4678</v>
      </c>
      <c r="W76" s="5">
        <f>IF($J76=1,G76,"")</f>
        <v>108</v>
      </c>
      <c r="X76">
        <f>IF($J276=0,G276,"")</f>
        <v>74</v>
      </c>
      <c r="Y76">
        <f>IF($J76=1,H76,"")</f>
        <v>0.8</v>
      </c>
      <c r="Z76">
        <f>IF($J276=0,H276,"")</f>
        <v>0.5</v>
      </c>
    </row>
    <row r="77" spans="1:26" x14ac:dyDescent="0.3">
      <c r="A77">
        <v>322</v>
      </c>
      <c r="B77" t="s">
        <v>65</v>
      </c>
      <c r="C77">
        <v>5</v>
      </c>
      <c r="D77" s="5">
        <v>17048</v>
      </c>
      <c r="E77" t="s">
        <v>67</v>
      </c>
      <c r="F77" s="5">
        <v>4867</v>
      </c>
      <c r="G77">
        <v>110</v>
      </c>
      <c r="H77">
        <v>13.5</v>
      </c>
      <c r="I77">
        <v>0.33175027004972923</v>
      </c>
      <c r="J77">
        <v>1</v>
      </c>
      <c r="M77" s="6"/>
      <c r="S77" s="5">
        <f>IF($J77=1,D77,"")</f>
        <v>17048</v>
      </c>
      <c r="T77" s="5">
        <f>IF($J277=0, D277,"")</f>
        <v>22931</v>
      </c>
      <c r="U77" s="5">
        <f>IF($J77=1,F77,"")</f>
        <v>4867</v>
      </c>
      <c r="V77" s="5">
        <f>IF($J277=0,F277,"")</f>
        <v>4458</v>
      </c>
      <c r="W77" s="5">
        <f>IF($J77=1,G77,"")</f>
        <v>110</v>
      </c>
      <c r="X77">
        <f>IF($J277=0,G277,"")</f>
        <v>65</v>
      </c>
      <c r="Y77">
        <f>IF($J77=1,H77,"")</f>
        <v>13.5</v>
      </c>
      <c r="Z77">
        <f>IF($J277=0,H277,"")</f>
        <v>6.5</v>
      </c>
    </row>
    <row r="78" spans="1:26" x14ac:dyDescent="0.3">
      <c r="A78">
        <v>349</v>
      </c>
      <c r="B78" t="s">
        <v>62</v>
      </c>
      <c r="C78">
        <v>4</v>
      </c>
      <c r="D78" s="5">
        <v>27378</v>
      </c>
      <c r="E78" t="s">
        <v>67</v>
      </c>
      <c r="F78" s="5">
        <v>3418</v>
      </c>
      <c r="G78">
        <v>98</v>
      </c>
      <c r="H78">
        <v>10.199999999999999</v>
      </c>
      <c r="I78">
        <v>0.67824223167113817</v>
      </c>
      <c r="J78">
        <v>1</v>
      </c>
      <c r="M78" s="6"/>
      <c r="S78" s="5">
        <f>IF($J78=1,D78,"")</f>
        <v>27378</v>
      </c>
      <c r="T78" s="5">
        <f>IF($J278=0, D278,"")</f>
        <v>20729</v>
      </c>
      <c r="U78" s="5">
        <f>IF($J78=1,F78,"")</f>
        <v>3418</v>
      </c>
      <c r="V78" s="5">
        <f>IF($J278=0,F278,"")</f>
        <v>4649</v>
      </c>
      <c r="W78" s="5">
        <f>IF($J78=1,G78,"")</f>
        <v>98</v>
      </c>
      <c r="X78">
        <f>IF($J278=0,G278,"")</f>
        <v>95</v>
      </c>
      <c r="Y78">
        <f>IF($J78=1,H78,"")</f>
        <v>10.199999999999999</v>
      </c>
      <c r="Z78">
        <f>IF($J278=0,H278,"")</f>
        <v>13.6</v>
      </c>
    </row>
    <row r="79" spans="1:26" x14ac:dyDescent="0.3">
      <c r="A79">
        <v>293</v>
      </c>
      <c r="B79" t="s">
        <v>65</v>
      </c>
      <c r="C79">
        <v>8</v>
      </c>
      <c r="D79" s="5">
        <v>28560</v>
      </c>
      <c r="E79" t="s">
        <v>67</v>
      </c>
      <c r="F79" s="5">
        <v>5681</v>
      </c>
      <c r="G79">
        <v>93</v>
      </c>
      <c r="H79">
        <v>9</v>
      </c>
      <c r="I79">
        <v>0.35867051465656508</v>
      </c>
      <c r="J79">
        <v>1</v>
      </c>
      <c r="M79" s="6"/>
      <c r="S79" s="5">
        <f>IF($J79=1,D79,"")</f>
        <v>28560</v>
      </c>
      <c r="T79" s="5">
        <f>IF($J279=0, D279,"")</f>
        <v>39883</v>
      </c>
      <c r="U79" s="5">
        <f>IF($J79=1,F79,"")</f>
        <v>5681</v>
      </c>
      <c r="V79" s="5">
        <f>IF($J279=0,F279,"")</f>
        <v>5369</v>
      </c>
      <c r="W79" s="5">
        <f>IF($J79=1,G79,"")</f>
        <v>93</v>
      </c>
      <c r="X79">
        <f>IF($J279=0,G279,"")</f>
        <v>26</v>
      </c>
      <c r="Y79">
        <f>IF($J79=1,H79,"")</f>
        <v>9</v>
      </c>
      <c r="Z79">
        <f>IF($J279=0,H279,"")</f>
        <v>10.199999999999999</v>
      </c>
    </row>
    <row r="80" spans="1:26" x14ac:dyDescent="0.3">
      <c r="A80">
        <v>110</v>
      </c>
      <c r="B80" t="s">
        <v>65</v>
      </c>
      <c r="C80">
        <v>6</v>
      </c>
      <c r="D80" s="5">
        <v>23746</v>
      </c>
      <c r="E80" t="s">
        <v>69</v>
      </c>
      <c r="F80" s="5">
        <v>5128</v>
      </c>
      <c r="G80">
        <v>97</v>
      </c>
      <c r="H80">
        <v>8.3000000000000007</v>
      </c>
      <c r="I80">
        <v>0.27298753341012505</v>
      </c>
      <c r="J80">
        <v>1</v>
      </c>
      <c r="M80" s="6"/>
      <c r="S80" s="5">
        <f>IF($J80=1,D80,"")</f>
        <v>23746</v>
      </c>
      <c r="T80" s="5">
        <f>IF($J280=0, D280,"")</f>
        <v>33521</v>
      </c>
      <c r="U80" s="5">
        <f>IF($J80=1,F80,"")</f>
        <v>5128</v>
      </c>
      <c r="V80" s="5">
        <f>IF($J280=0,F280,"")</f>
        <v>4637</v>
      </c>
      <c r="W80" s="5">
        <f>IF($J80=1,G80,"")</f>
        <v>97</v>
      </c>
      <c r="X80">
        <f>IF($J280=0,G280,"")</f>
        <v>23</v>
      </c>
      <c r="Y80">
        <f>IF($J80=1,H80,"")</f>
        <v>8.3000000000000007</v>
      </c>
      <c r="Z80">
        <f>IF($J280=0,H280,"")</f>
        <v>10</v>
      </c>
    </row>
    <row r="81" spans="1:26" x14ac:dyDescent="0.3">
      <c r="A81">
        <v>310</v>
      </c>
      <c r="B81" t="s">
        <v>62</v>
      </c>
      <c r="C81">
        <v>4</v>
      </c>
      <c r="D81" s="5">
        <v>46490</v>
      </c>
      <c r="E81" t="s">
        <v>68</v>
      </c>
      <c r="F81" s="5">
        <v>5047</v>
      </c>
      <c r="G81">
        <v>55</v>
      </c>
      <c r="H81">
        <v>5.8</v>
      </c>
      <c r="I81">
        <v>0.85295933478437869</v>
      </c>
      <c r="J81">
        <v>1</v>
      </c>
      <c r="M81" s="6"/>
      <c r="S81" s="5">
        <f>IF($J81=1,D81,"")</f>
        <v>46490</v>
      </c>
      <c r="T81" s="5">
        <f>IF($J281=0, D281,"")</f>
        <v>35280</v>
      </c>
      <c r="U81" s="5">
        <f>IF($J81=1,F81,"")</f>
        <v>5047</v>
      </c>
      <c r="V81" s="5">
        <f>IF($J281=0,F281,"")</f>
        <v>2851</v>
      </c>
      <c r="W81" s="5">
        <f>IF($J81=1,G81,"")</f>
        <v>55</v>
      </c>
      <c r="X81">
        <f>IF($J281=0,G281,"")</f>
        <v>70</v>
      </c>
      <c r="Y81">
        <f>IF($J81=1,H81,"")</f>
        <v>5.8</v>
      </c>
      <c r="Z81">
        <f>IF($J281=0,H281,"")</f>
        <v>2.4</v>
      </c>
    </row>
    <row r="82" spans="1:26" x14ac:dyDescent="0.3">
      <c r="A82">
        <v>301</v>
      </c>
      <c r="B82" t="s">
        <v>64</v>
      </c>
      <c r="C82">
        <v>7</v>
      </c>
      <c r="D82" s="5">
        <v>21275</v>
      </c>
      <c r="E82" t="s">
        <v>68</v>
      </c>
      <c r="F82" s="5">
        <v>5887</v>
      </c>
      <c r="G82">
        <v>95</v>
      </c>
      <c r="H82">
        <v>5.9</v>
      </c>
      <c r="I82">
        <v>0.86638941294275407</v>
      </c>
      <c r="J82">
        <v>1</v>
      </c>
      <c r="M82" s="6"/>
      <c r="S82" s="5">
        <f>IF($J82=1,D82,"")</f>
        <v>21275</v>
      </c>
      <c r="T82" s="5">
        <f>IF($J282=0, D282,"")</f>
        <v>31399</v>
      </c>
      <c r="U82" s="5">
        <f>IF($J82=1,F82,"")</f>
        <v>5887</v>
      </c>
      <c r="V82" s="5">
        <f>IF($J282=0,F282,"")</f>
        <v>5305</v>
      </c>
      <c r="W82" s="5">
        <f>IF($J82=1,G82,"")</f>
        <v>95</v>
      </c>
      <c r="X82">
        <f>IF($J282=0,G282,"")</f>
        <v>36</v>
      </c>
      <c r="Y82">
        <f>IF($J82=1,H82,"")</f>
        <v>5.9</v>
      </c>
      <c r="Z82">
        <f>IF($J282=0,H282,"")</f>
        <v>6.3</v>
      </c>
    </row>
    <row r="83" spans="1:26" x14ac:dyDescent="0.3">
      <c r="A83">
        <v>21</v>
      </c>
      <c r="B83" t="s">
        <v>64</v>
      </c>
      <c r="C83">
        <v>4</v>
      </c>
      <c r="D83" s="5">
        <v>20156</v>
      </c>
      <c r="E83" t="s">
        <v>68</v>
      </c>
      <c r="F83" s="5">
        <v>3149</v>
      </c>
      <c r="G83">
        <v>74</v>
      </c>
      <c r="H83">
        <v>8.1999999999999993</v>
      </c>
      <c r="I83">
        <v>0.55195152568506889</v>
      </c>
      <c r="J83">
        <v>1</v>
      </c>
      <c r="M83" s="6"/>
      <c r="S83" s="5">
        <f>IF($J83=1,D83,"")</f>
        <v>20156</v>
      </c>
      <c r="T83" s="5">
        <f>IF($J283=0, D283,"")</f>
        <v>20712</v>
      </c>
      <c r="U83" s="5">
        <f>IF($J83=1,F83,"")</f>
        <v>3149</v>
      </c>
      <c r="V83" s="5">
        <f>IF($J283=0,F283,"")</f>
        <v>4385</v>
      </c>
      <c r="W83" s="5">
        <f>IF($J83=1,G83,"")</f>
        <v>74</v>
      </c>
      <c r="X83">
        <f>IF($J283=0,G283,"")</f>
        <v>91</v>
      </c>
      <c r="Y83">
        <f>IF($J83=1,H83,"")</f>
        <v>8.1999999999999993</v>
      </c>
      <c r="Z83">
        <f>IF($J283=0,H283,"")</f>
        <v>9.6</v>
      </c>
    </row>
    <row r="84" spans="1:26" x14ac:dyDescent="0.3">
      <c r="A84">
        <v>303</v>
      </c>
      <c r="B84" t="s">
        <v>64</v>
      </c>
      <c r="C84">
        <v>2</v>
      </c>
      <c r="D84" s="5">
        <v>34195</v>
      </c>
      <c r="E84" t="s">
        <v>67</v>
      </c>
      <c r="F84" s="5">
        <v>2866</v>
      </c>
      <c r="G84">
        <v>61</v>
      </c>
      <c r="H84">
        <v>3.1</v>
      </c>
      <c r="I84">
        <v>0.75284945786661472</v>
      </c>
      <c r="J84">
        <v>1</v>
      </c>
      <c r="M84" s="6"/>
      <c r="S84" s="5">
        <f>IF($J84=1,D84,"")</f>
        <v>34195</v>
      </c>
      <c r="T84" s="5">
        <f>IF($J284=0, D284,"")</f>
        <v>31679</v>
      </c>
      <c r="U84" s="5">
        <f>IF($J84=1,F84,"")</f>
        <v>2866</v>
      </c>
      <c r="V84" s="5">
        <f>IF($J284=0,F284,"")</f>
        <v>6090</v>
      </c>
      <c r="W84" s="5">
        <f>IF($J84=1,G84,"")</f>
        <v>61</v>
      </c>
      <c r="X84">
        <f>IF($J284=0,G284,"")</f>
        <v>33</v>
      </c>
      <c r="Y84">
        <f>IF($J84=1,H84,"")</f>
        <v>3.1</v>
      </c>
      <c r="Z84">
        <f>IF($J284=0,H284,"")</f>
        <v>4.5</v>
      </c>
    </row>
    <row r="85" spans="1:26" x14ac:dyDescent="0.3">
      <c r="A85">
        <v>150</v>
      </c>
      <c r="B85" t="s">
        <v>63</v>
      </c>
      <c r="C85">
        <v>8</v>
      </c>
      <c r="D85" s="5">
        <v>35168</v>
      </c>
      <c r="E85" t="s">
        <v>66</v>
      </c>
      <c r="F85" s="5">
        <v>5651</v>
      </c>
      <c r="G85">
        <v>113</v>
      </c>
      <c r="H85">
        <v>1.4</v>
      </c>
      <c r="I85">
        <v>0.4288410067052002</v>
      </c>
      <c r="J85">
        <v>1</v>
      </c>
      <c r="M85" s="6"/>
      <c r="S85" s="5">
        <f>IF($J85=1,D85,"")</f>
        <v>35168</v>
      </c>
      <c r="T85" s="5">
        <f>IF($J285=0, D285,"")</f>
        <v>30343</v>
      </c>
      <c r="U85" s="5">
        <f>IF($J85=1,F85,"")</f>
        <v>5651</v>
      </c>
      <c r="V85" s="5">
        <f>IF($J285=0,F285,"")</f>
        <v>4130</v>
      </c>
      <c r="W85" s="5">
        <f>IF($J85=1,G85,"")</f>
        <v>113</v>
      </c>
      <c r="X85">
        <f>IF($J285=0,G285,"")</f>
        <v>101</v>
      </c>
      <c r="Y85">
        <f>IF($J85=1,H85,"")</f>
        <v>1.4</v>
      </c>
      <c r="Z85">
        <f>IF($J285=0,H285,"")</f>
        <v>0.5</v>
      </c>
    </row>
    <row r="86" spans="1:26" x14ac:dyDescent="0.3">
      <c r="A86">
        <v>53</v>
      </c>
      <c r="B86" t="s">
        <v>64</v>
      </c>
      <c r="C86">
        <v>4</v>
      </c>
      <c r="D86" s="5">
        <v>28150</v>
      </c>
      <c r="E86" t="s">
        <v>69</v>
      </c>
      <c r="F86" s="5">
        <v>4373</v>
      </c>
      <c r="G86">
        <v>118</v>
      </c>
      <c r="H86">
        <v>6.2</v>
      </c>
      <c r="I86">
        <v>0.70033142230294676</v>
      </c>
      <c r="J86">
        <v>1</v>
      </c>
      <c r="M86" s="6"/>
      <c r="S86" s="5">
        <f>IF($J86=1,D86,"")</f>
        <v>28150</v>
      </c>
      <c r="T86" s="5">
        <f>IF($J286=0, D286,"")</f>
        <v>29207</v>
      </c>
      <c r="U86" s="5">
        <f>IF($J86=1,F86,"")</f>
        <v>4373</v>
      </c>
      <c r="V86" s="5">
        <f>IF($J286=0,F286,"")</f>
        <v>2899</v>
      </c>
      <c r="W86" s="5">
        <f>IF($J86=1,G86,"")</f>
        <v>118</v>
      </c>
      <c r="X86">
        <f>IF($J286=0,G286,"")</f>
        <v>51</v>
      </c>
      <c r="Y86">
        <f>IF($J86=1,H86,"")</f>
        <v>6.2</v>
      </c>
      <c r="Z86">
        <f>IF($J286=0,H286,"")</f>
        <v>14.8</v>
      </c>
    </row>
    <row r="87" spans="1:26" x14ac:dyDescent="0.3">
      <c r="A87">
        <v>133</v>
      </c>
      <c r="B87" t="s">
        <v>64</v>
      </c>
      <c r="C87">
        <v>8</v>
      </c>
      <c r="D87" s="5">
        <v>32197</v>
      </c>
      <c r="E87" t="s">
        <v>66</v>
      </c>
      <c r="F87" s="5">
        <v>5216</v>
      </c>
      <c r="G87">
        <v>47</v>
      </c>
      <c r="H87">
        <v>1</v>
      </c>
      <c r="I87">
        <v>0.11516166657609717</v>
      </c>
      <c r="J87">
        <v>1</v>
      </c>
      <c r="M87" s="6"/>
      <c r="S87" s="5">
        <f>IF($J87=1,D87,"")</f>
        <v>32197</v>
      </c>
      <c r="T87" s="5">
        <f>IF($J287=0, D287,"")</f>
        <v>28697</v>
      </c>
      <c r="U87" s="5">
        <f>IF($J87=1,F87,"")</f>
        <v>5216</v>
      </c>
      <c r="V87" s="5">
        <f>IF($J287=0,F287,"")</f>
        <v>5187</v>
      </c>
      <c r="W87" s="5">
        <f>IF($J87=1,G87,"")</f>
        <v>47</v>
      </c>
      <c r="X87">
        <f>IF($J287=0,G287,"")</f>
        <v>26</v>
      </c>
      <c r="Y87">
        <f>IF($J87=1,H87,"")</f>
        <v>1</v>
      </c>
      <c r="Z87">
        <f>IF($J287=0,H287,"")</f>
        <v>4.5</v>
      </c>
    </row>
    <row r="88" spans="1:26" x14ac:dyDescent="0.3">
      <c r="A88">
        <v>34</v>
      </c>
      <c r="B88" t="s">
        <v>65</v>
      </c>
      <c r="C88">
        <v>5</v>
      </c>
      <c r="D88" s="5">
        <v>29458</v>
      </c>
      <c r="E88" t="s">
        <v>69</v>
      </c>
      <c r="F88" s="5">
        <v>4963</v>
      </c>
      <c r="G88">
        <v>88</v>
      </c>
      <c r="H88">
        <v>4.7</v>
      </c>
      <c r="I88">
        <v>0.80356751096346335</v>
      </c>
      <c r="J88">
        <v>1</v>
      </c>
      <c r="M88" s="6"/>
      <c r="S88" s="5">
        <f>IF($J88=1,D88,"")</f>
        <v>29458</v>
      </c>
      <c r="T88" s="5">
        <f>IF($J288=0, D288,"")</f>
        <v>26555</v>
      </c>
      <c r="U88" s="5">
        <f>IF($J88=1,F88,"")</f>
        <v>4963</v>
      </c>
      <c r="V88" s="5">
        <f>IF($J288=0,F288,"")</f>
        <v>3395</v>
      </c>
      <c r="W88" s="5">
        <f>IF($J88=1,G88,"")</f>
        <v>88</v>
      </c>
      <c r="X88">
        <f>IF($J288=0,G288,"")</f>
        <v>91</v>
      </c>
      <c r="Y88">
        <f>IF($J88=1,H88,"")</f>
        <v>4.7</v>
      </c>
      <c r="Z88">
        <f>IF($J288=0,H288,"")</f>
        <v>11.5</v>
      </c>
    </row>
    <row r="89" spans="1:26" x14ac:dyDescent="0.3">
      <c r="A89">
        <v>383</v>
      </c>
      <c r="B89" t="s">
        <v>63</v>
      </c>
      <c r="C89">
        <v>4</v>
      </c>
      <c r="D89" s="5">
        <v>22017</v>
      </c>
      <c r="E89" t="s">
        <v>67</v>
      </c>
      <c r="F89" s="5">
        <v>3884</v>
      </c>
      <c r="G89">
        <v>18</v>
      </c>
      <c r="H89">
        <v>12</v>
      </c>
      <c r="I89">
        <v>0.22761300558282971</v>
      </c>
      <c r="J89">
        <v>1</v>
      </c>
      <c r="M89" s="6"/>
      <c r="S89" s="5">
        <f>IF($J89=1,D89,"")</f>
        <v>22017</v>
      </c>
      <c r="T89" s="5">
        <f>IF($J289=0, D289,"")</f>
        <v>20723</v>
      </c>
      <c r="U89" s="5">
        <f>IF($J89=1,F89,"")</f>
        <v>3884</v>
      </c>
      <c r="V89" s="5">
        <f>IF($J289=0,F289,"")</f>
        <v>6194</v>
      </c>
      <c r="W89" s="5">
        <f>IF($J89=1,G89,"")</f>
        <v>18</v>
      </c>
      <c r="X89">
        <f>IF($J289=0,G289,"")</f>
        <v>117</v>
      </c>
      <c r="Y89">
        <f>IF($J89=1,H89,"")</f>
        <v>12</v>
      </c>
      <c r="Z89">
        <f>IF($J289=0,H289,"")</f>
        <v>2.8</v>
      </c>
    </row>
    <row r="90" spans="1:26" x14ac:dyDescent="0.3">
      <c r="A90">
        <v>290</v>
      </c>
      <c r="B90" t="s">
        <v>63</v>
      </c>
      <c r="C90">
        <v>6</v>
      </c>
      <c r="D90" s="5">
        <v>21541</v>
      </c>
      <c r="E90" t="s">
        <v>67</v>
      </c>
      <c r="F90" s="5">
        <v>4688</v>
      </c>
      <c r="G90">
        <v>20</v>
      </c>
      <c r="H90">
        <v>3.1</v>
      </c>
      <c r="I90">
        <v>0.12999711767666977</v>
      </c>
      <c r="J90">
        <v>1</v>
      </c>
      <c r="M90" s="6"/>
      <c r="S90" s="5">
        <f>IF($J90=1,D90,"")</f>
        <v>21541</v>
      </c>
      <c r="T90" s="5">
        <f>IF($J290=0, D290,"")</f>
        <v>29384</v>
      </c>
      <c r="U90" s="5">
        <f>IF($J90=1,F90,"")</f>
        <v>4688</v>
      </c>
      <c r="V90" s="5">
        <f>IF($J290=0,F290,"")</f>
        <v>4564</v>
      </c>
      <c r="W90" s="5">
        <f>IF($J90=1,G90,"")</f>
        <v>20</v>
      </c>
      <c r="X90">
        <f>IF($J290=0,G290,"")</f>
        <v>16</v>
      </c>
      <c r="Y90">
        <f>IF($J90=1,H90,"")</f>
        <v>3.1</v>
      </c>
      <c r="Z90">
        <f>IF($J290=0,H290,"")</f>
        <v>9.1999999999999993</v>
      </c>
    </row>
    <row r="91" spans="1:26" x14ac:dyDescent="0.3">
      <c r="A91">
        <v>235</v>
      </c>
      <c r="B91" t="s">
        <v>62</v>
      </c>
      <c r="C91">
        <v>3</v>
      </c>
      <c r="D91" s="5">
        <v>37372</v>
      </c>
      <c r="E91" t="s">
        <v>69</v>
      </c>
      <c r="F91" s="5">
        <v>4409</v>
      </c>
      <c r="G91">
        <v>67</v>
      </c>
      <c r="H91">
        <v>3.9</v>
      </c>
      <c r="I91">
        <v>0.57747531836219157</v>
      </c>
      <c r="J91">
        <v>1</v>
      </c>
      <c r="M91" s="6"/>
      <c r="S91" s="5">
        <f>IF($J91=1,D91,"")</f>
        <v>37372</v>
      </c>
      <c r="T91" s="5">
        <f>IF($J291=0, D291,"")</f>
        <v>31582</v>
      </c>
      <c r="U91" s="5">
        <f>IF($J91=1,F91,"")</f>
        <v>4409</v>
      </c>
      <c r="V91" s="5">
        <f>IF($J291=0,F291,"")</f>
        <v>5847</v>
      </c>
      <c r="W91" s="5">
        <f>IF($J91=1,G91,"")</f>
        <v>67</v>
      </c>
      <c r="X91">
        <f>IF($J291=0,G291,"")</f>
        <v>22</v>
      </c>
      <c r="Y91">
        <f>IF($J91=1,H91,"")</f>
        <v>3.9</v>
      </c>
      <c r="Z91">
        <f>IF($J291=0,H291,"")</f>
        <v>9.4</v>
      </c>
    </row>
    <row r="92" spans="1:26" x14ac:dyDescent="0.3">
      <c r="A92">
        <v>358</v>
      </c>
      <c r="B92" t="s">
        <v>65</v>
      </c>
      <c r="C92">
        <v>4</v>
      </c>
      <c r="D92" s="5">
        <v>27058</v>
      </c>
      <c r="E92" t="s">
        <v>67</v>
      </c>
      <c r="F92" s="5">
        <v>4062</v>
      </c>
      <c r="G92">
        <v>65</v>
      </c>
      <c r="H92">
        <v>9</v>
      </c>
      <c r="I92">
        <v>5.9264440911213745E-2</v>
      </c>
      <c r="J92">
        <v>1</v>
      </c>
      <c r="M92" s="6"/>
      <c r="S92" s="5">
        <f>IF($J92=1,D92,"")</f>
        <v>27058</v>
      </c>
      <c r="T92" s="5">
        <f>IF($J292=0, D292,"")</f>
        <v>20584</v>
      </c>
      <c r="U92" s="5">
        <f>IF($J92=1,F92,"")</f>
        <v>4062</v>
      </c>
      <c r="V92" s="5">
        <f>IF($J292=0,F292,"")</f>
        <v>5303</v>
      </c>
      <c r="W92" s="5">
        <f>IF($J92=1,G92,"")</f>
        <v>65</v>
      </c>
      <c r="X92">
        <f>IF($J292=0,G292,"")</f>
        <v>91</v>
      </c>
      <c r="Y92">
        <f>IF($J92=1,H92,"")</f>
        <v>9</v>
      </c>
      <c r="Z92">
        <f>IF($J292=0,H292,"")</f>
        <v>10.199999999999999</v>
      </c>
    </row>
    <row r="93" spans="1:26" x14ac:dyDescent="0.3">
      <c r="A93">
        <v>258</v>
      </c>
      <c r="B93" t="s">
        <v>63</v>
      </c>
      <c r="C93">
        <v>3</v>
      </c>
      <c r="D93" s="5">
        <v>21305</v>
      </c>
      <c r="E93" t="s">
        <v>67</v>
      </c>
      <c r="F93" s="5">
        <v>3416</v>
      </c>
      <c r="G93">
        <v>65</v>
      </c>
      <c r="H93">
        <v>6.1</v>
      </c>
      <c r="I93">
        <v>0.87565346046336012</v>
      </c>
      <c r="J93">
        <v>1</v>
      </c>
      <c r="M93" s="6"/>
      <c r="S93" s="5">
        <f>IF($J93=1,D93,"")</f>
        <v>21305</v>
      </c>
      <c r="T93" s="5">
        <f>IF($J293=0, D293,"")</f>
        <v>39296</v>
      </c>
      <c r="U93" s="5">
        <f>IF($J93=1,F93,"")</f>
        <v>3416</v>
      </c>
      <c r="V93" s="5">
        <f>IF($J293=0,F293,"")</f>
        <v>4112</v>
      </c>
      <c r="W93" s="5">
        <f>IF($J93=1,G93,"")</f>
        <v>65</v>
      </c>
      <c r="X93">
        <f>IF($J293=0,G293,"")</f>
        <v>54</v>
      </c>
      <c r="Y93">
        <f>IF($J93=1,H93,"")</f>
        <v>6.1</v>
      </c>
      <c r="Z93">
        <f>IF($J293=0,H293,"")</f>
        <v>3.7</v>
      </c>
    </row>
    <row r="94" spans="1:26" x14ac:dyDescent="0.3">
      <c r="A94">
        <v>203</v>
      </c>
      <c r="B94" t="s">
        <v>62</v>
      </c>
      <c r="C94">
        <v>4</v>
      </c>
      <c r="D94" s="5">
        <v>22955</v>
      </c>
      <c r="E94" t="s">
        <v>67</v>
      </c>
      <c r="F94" s="5">
        <v>3967</v>
      </c>
      <c r="G94">
        <v>45</v>
      </c>
      <c r="H94">
        <v>4.5999999999999996</v>
      </c>
      <c r="I94">
        <v>0.28866936052847725</v>
      </c>
      <c r="J94">
        <v>1</v>
      </c>
      <c r="M94" s="6"/>
      <c r="S94" s="5">
        <f>IF($J94=1,D94,"")</f>
        <v>22955</v>
      </c>
      <c r="T94" s="5">
        <f>IF($J294=0, D294,"")</f>
        <v>27183</v>
      </c>
      <c r="U94" s="5">
        <f>IF($J94=1,F94,"")</f>
        <v>3967</v>
      </c>
      <c r="V94" s="5">
        <f>IF($J294=0,F294,"")</f>
        <v>5831</v>
      </c>
      <c r="W94" s="5">
        <f>IF($J94=1,G94,"")</f>
        <v>45</v>
      </c>
      <c r="X94">
        <f>IF($J294=0,G294,"")</f>
        <v>21</v>
      </c>
      <c r="Y94">
        <f>IF($J94=1,H94,"")</f>
        <v>4.5999999999999996</v>
      </c>
      <c r="Z94">
        <f>IF($J294=0,H294,"")</f>
        <v>9.3000000000000007</v>
      </c>
    </row>
    <row r="95" spans="1:26" x14ac:dyDescent="0.3">
      <c r="A95">
        <v>311</v>
      </c>
      <c r="B95" t="s">
        <v>65</v>
      </c>
      <c r="C95">
        <v>6</v>
      </c>
      <c r="D95" s="5">
        <v>26906</v>
      </c>
      <c r="E95" t="s">
        <v>67</v>
      </c>
      <c r="F95" s="5">
        <v>4946</v>
      </c>
      <c r="G95">
        <v>109</v>
      </c>
      <c r="H95">
        <v>5</v>
      </c>
      <c r="I95">
        <v>0.41421646111164423</v>
      </c>
      <c r="J95">
        <v>1</v>
      </c>
      <c r="M95" s="6"/>
      <c r="S95" s="5">
        <f>IF($J95=1,D95,"")</f>
        <v>26906</v>
      </c>
      <c r="T95" s="5">
        <f>IF($J295=0, D295,"")</f>
        <v>20316</v>
      </c>
      <c r="U95" s="5">
        <f>IF($J95=1,F95,"")</f>
        <v>4946</v>
      </c>
      <c r="V95" s="5">
        <f>IF($J295=0,F295,"")</f>
        <v>3478</v>
      </c>
      <c r="W95" s="5">
        <f>IF($J95=1,G95,"")</f>
        <v>109</v>
      </c>
      <c r="X95">
        <f>IF($J295=0,G295,"")</f>
        <v>60</v>
      </c>
      <c r="Y95">
        <f>IF($J95=1,H95,"")</f>
        <v>5</v>
      </c>
      <c r="Z95">
        <f>IF($J295=0,H295,"")</f>
        <v>4.5999999999999996</v>
      </c>
    </row>
    <row r="96" spans="1:26" x14ac:dyDescent="0.3">
      <c r="A96">
        <v>368</v>
      </c>
      <c r="B96" t="s">
        <v>65</v>
      </c>
      <c r="C96">
        <v>5</v>
      </c>
      <c r="D96" s="5">
        <v>34084</v>
      </c>
      <c r="E96" t="s">
        <v>68</v>
      </c>
      <c r="F96" s="5">
        <v>5692</v>
      </c>
      <c r="G96">
        <v>62</v>
      </c>
      <c r="H96">
        <v>5.8</v>
      </c>
      <c r="I96">
        <v>0.8422575440921094</v>
      </c>
      <c r="J96">
        <v>1</v>
      </c>
      <c r="M96" s="6"/>
      <c r="S96" s="5">
        <f>IF($J96=1,D96,"")</f>
        <v>34084</v>
      </c>
      <c r="T96" s="5">
        <f>IF($J296=0, D296,"")</f>
        <v>20254</v>
      </c>
      <c r="U96" s="5">
        <f>IF($J96=1,F96,"")</f>
        <v>5692</v>
      </c>
      <c r="V96" s="5">
        <f>IF($J296=0,F296,"")</f>
        <v>4134</v>
      </c>
      <c r="W96" s="5">
        <f>IF($J96=1,G96,"")</f>
        <v>62</v>
      </c>
      <c r="X96">
        <f>IF($J296=0,G296,"")</f>
        <v>55</v>
      </c>
      <c r="Y96">
        <f>IF($J96=1,H96,"")</f>
        <v>5.8</v>
      </c>
      <c r="Z96">
        <f>IF($J296=0,H296,"")</f>
        <v>4.4000000000000004</v>
      </c>
    </row>
    <row r="97" spans="1:26" x14ac:dyDescent="0.3">
      <c r="A97">
        <v>26</v>
      </c>
      <c r="B97" t="s">
        <v>62</v>
      </c>
      <c r="C97">
        <v>6</v>
      </c>
      <c r="D97" s="5">
        <v>44042</v>
      </c>
      <c r="E97" t="s">
        <v>69</v>
      </c>
      <c r="F97" s="5">
        <v>5829</v>
      </c>
      <c r="G97">
        <v>105</v>
      </c>
      <c r="H97">
        <v>14.1</v>
      </c>
      <c r="I97">
        <v>0.25789215536987886</v>
      </c>
      <c r="J97">
        <v>1</v>
      </c>
      <c r="M97" s="6"/>
      <c r="S97" s="5">
        <f>IF($J97=1,D97,"")</f>
        <v>44042</v>
      </c>
      <c r="T97" s="5">
        <f>IF($J297=0, D297,"")</f>
        <v>13585</v>
      </c>
      <c r="U97" s="5">
        <f>IF($J97=1,F97,"")</f>
        <v>5829</v>
      </c>
      <c r="V97" s="5">
        <f>IF($J297=0,F297,"")</f>
        <v>4967</v>
      </c>
      <c r="W97" s="5">
        <f>IF($J97=1,G97,"")</f>
        <v>105</v>
      </c>
      <c r="X97">
        <f>IF($J297=0,G297,"")</f>
        <v>57</v>
      </c>
      <c r="Y97">
        <f>IF($J97=1,H97,"")</f>
        <v>14.1</v>
      </c>
      <c r="Z97">
        <f>IF($J297=0,H297,"")</f>
        <v>3.5</v>
      </c>
    </row>
    <row r="98" spans="1:26" x14ac:dyDescent="0.3">
      <c r="A98">
        <v>268</v>
      </c>
      <c r="B98" t="s">
        <v>62</v>
      </c>
      <c r="C98">
        <v>4</v>
      </c>
      <c r="D98" s="5">
        <v>43828</v>
      </c>
      <c r="E98" t="s">
        <v>68</v>
      </c>
      <c r="F98" s="5">
        <v>5342</v>
      </c>
      <c r="G98">
        <v>31</v>
      </c>
      <c r="H98">
        <v>1.4</v>
      </c>
      <c r="I98">
        <v>0.75760366522403311</v>
      </c>
      <c r="J98">
        <v>1</v>
      </c>
      <c r="M98" s="6"/>
      <c r="S98" s="5">
        <f>IF($J98=1,D98,"")</f>
        <v>43828</v>
      </c>
      <c r="T98" s="5">
        <f>IF($J298=0, D298,"")</f>
        <v>33845</v>
      </c>
      <c r="U98" s="5">
        <f>IF($J98=1,F98,"")</f>
        <v>5342</v>
      </c>
      <c r="V98" s="5">
        <f>IF($J298=0,F298,"")</f>
        <v>6610</v>
      </c>
      <c r="W98" s="5">
        <f>IF($J98=1,G98,"")</f>
        <v>31</v>
      </c>
      <c r="X98">
        <f>IF($J298=0,G298,"")</f>
        <v>120</v>
      </c>
      <c r="Y98">
        <f>IF($J98=1,H98,"")</f>
        <v>1.4</v>
      </c>
      <c r="Z98">
        <f>IF($J298=0,H298,"")</f>
        <v>6</v>
      </c>
    </row>
    <row r="99" spans="1:26" x14ac:dyDescent="0.3">
      <c r="A99">
        <v>4</v>
      </c>
      <c r="B99" t="s">
        <v>63</v>
      </c>
      <c r="C99">
        <v>6</v>
      </c>
      <c r="D99" s="5">
        <v>27370</v>
      </c>
      <c r="E99" t="s">
        <v>69</v>
      </c>
      <c r="F99" s="5">
        <v>5426</v>
      </c>
      <c r="G99">
        <v>21</v>
      </c>
      <c r="H99">
        <v>13.3</v>
      </c>
      <c r="I99">
        <v>0.64260844736414469</v>
      </c>
      <c r="J99">
        <v>1</v>
      </c>
      <c r="M99" s="6"/>
      <c r="S99" s="5">
        <f>IF($J99=1,D99,"")</f>
        <v>27370</v>
      </c>
      <c r="T99" s="5">
        <f>IF($J299=0, D299,"")</f>
        <v>34588</v>
      </c>
      <c r="U99" s="5">
        <f>IF($J99=1,F99,"")</f>
        <v>5426</v>
      </c>
      <c r="V99" s="5">
        <f>IF($J299=0,F299,"")</f>
        <v>4396</v>
      </c>
      <c r="W99" s="5">
        <f>IF($J99=1,G99,"")</f>
        <v>21</v>
      </c>
      <c r="X99">
        <f>IF($J299=0,G299,"")</f>
        <v>15</v>
      </c>
      <c r="Y99">
        <f>IF($J99=1,H99,"")</f>
        <v>13.3</v>
      </c>
      <c r="Z99">
        <f>IF($J299=0,H299,"")</f>
        <v>11.8</v>
      </c>
    </row>
    <row r="100" spans="1:26" x14ac:dyDescent="0.3">
      <c r="A100">
        <v>254</v>
      </c>
      <c r="B100" t="s">
        <v>62</v>
      </c>
      <c r="C100">
        <v>8</v>
      </c>
      <c r="D100" s="5">
        <v>30363</v>
      </c>
      <c r="E100" t="s">
        <v>68</v>
      </c>
      <c r="F100" s="5">
        <v>6679</v>
      </c>
      <c r="G100">
        <v>100</v>
      </c>
      <c r="H100">
        <v>0.7</v>
      </c>
      <c r="I100">
        <v>0.97610497005164798</v>
      </c>
      <c r="J100">
        <v>1</v>
      </c>
      <c r="M100" s="6"/>
      <c r="S100" s="5">
        <f>IF($J100=1,D100,"")</f>
        <v>30363</v>
      </c>
      <c r="T100" s="5">
        <f>IF($J300=0, D300,"")</f>
        <v>33238</v>
      </c>
      <c r="U100" s="5">
        <f>IF($J100=1,F100,"")</f>
        <v>6679</v>
      </c>
      <c r="V100" s="5">
        <f>IF($J300=0,F300,"")</f>
        <v>4688</v>
      </c>
      <c r="W100" s="5">
        <f>IF($J100=1,G100,"")</f>
        <v>100</v>
      </c>
      <c r="X100">
        <f>IF($J300=0,G300,"")</f>
        <v>47</v>
      </c>
      <c r="Y100">
        <f>IF($J100=1,H100,"")</f>
        <v>0.7</v>
      </c>
      <c r="Z100">
        <f>IF($J300=0,H300,"")</f>
        <v>6.5</v>
      </c>
    </row>
    <row r="101" spans="1:26" x14ac:dyDescent="0.3">
      <c r="A101">
        <v>136</v>
      </c>
      <c r="B101" t="s">
        <v>65</v>
      </c>
      <c r="C101">
        <v>2</v>
      </c>
      <c r="D101" s="5">
        <v>33931</v>
      </c>
      <c r="E101" t="s">
        <v>67</v>
      </c>
      <c r="F101" s="5">
        <v>4502</v>
      </c>
      <c r="G101">
        <v>107</v>
      </c>
      <c r="H101">
        <v>10.1</v>
      </c>
      <c r="I101">
        <v>0.68733984596666198</v>
      </c>
      <c r="J101">
        <v>1</v>
      </c>
      <c r="M101" s="6"/>
      <c r="S101" s="5">
        <f>IF($J101=1,D101,"")</f>
        <v>33931</v>
      </c>
      <c r="T101" s="5">
        <f>IF($J301=0, D301,"")</f>
        <v>22723</v>
      </c>
      <c r="U101" s="5">
        <f>IF($J101=1,F101,"")</f>
        <v>4502</v>
      </c>
      <c r="V101" s="5">
        <f>IF($J301=0,F301,"")</f>
        <v>5616</v>
      </c>
      <c r="W101" s="5">
        <f>IF($J101=1,G101,"")</f>
        <v>107</v>
      </c>
      <c r="X101">
        <f>IF($J301=0,G301,"")</f>
        <v>46</v>
      </c>
      <c r="Y101">
        <f>IF($J101=1,H101,"")</f>
        <v>10.1</v>
      </c>
      <c r="Z101">
        <f>IF($J301=0,H301,"")</f>
        <v>2.1</v>
      </c>
    </row>
    <row r="102" spans="1:26" x14ac:dyDescent="0.3">
      <c r="A102">
        <v>395</v>
      </c>
      <c r="B102" t="s">
        <v>62</v>
      </c>
      <c r="C102">
        <v>3</v>
      </c>
      <c r="D102" s="5">
        <v>30627</v>
      </c>
      <c r="E102" t="s">
        <v>66</v>
      </c>
      <c r="F102" s="5">
        <v>3319</v>
      </c>
      <c r="G102">
        <v>23</v>
      </c>
      <c r="H102">
        <v>8.6999999999999993</v>
      </c>
      <c r="I102">
        <v>0.93632028820199775</v>
      </c>
      <c r="J102">
        <v>1</v>
      </c>
      <c r="M102" s="6"/>
      <c r="S102" s="5">
        <f>IF($J102=1,D102,"")</f>
        <v>30627</v>
      </c>
      <c r="T102" s="5">
        <f>IF($J302=0, D302,"")</f>
        <v>27001</v>
      </c>
      <c r="U102" s="5">
        <f>IF($J102=1,F102,"")</f>
        <v>3319</v>
      </c>
      <c r="V102" s="5">
        <f>IF($J302=0,F302,"")</f>
        <v>3124</v>
      </c>
      <c r="W102" s="5">
        <f>IF($J102=1,G102,"")</f>
        <v>23</v>
      </c>
      <c r="X102">
        <f>IF($J302=0,G302,"")</f>
        <v>81</v>
      </c>
      <c r="Y102">
        <f>IF($J102=1,H102,"")</f>
        <v>8.6999999999999993</v>
      </c>
      <c r="Z102">
        <f>IF($J302=0,H302,"")</f>
        <v>8.3000000000000007</v>
      </c>
    </row>
    <row r="103" spans="1:26" x14ac:dyDescent="0.3">
      <c r="A103">
        <v>375</v>
      </c>
      <c r="B103" t="s">
        <v>62</v>
      </c>
      <c r="C103">
        <v>6</v>
      </c>
      <c r="D103" s="5">
        <v>18802</v>
      </c>
      <c r="E103" t="s">
        <v>69</v>
      </c>
      <c r="F103" s="5">
        <v>4776</v>
      </c>
      <c r="G103">
        <v>57</v>
      </c>
      <c r="H103">
        <v>9.4</v>
      </c>
      <c r="I103">
        <v>0.72554032864824725</v>
      </c>
      <c r="J103">
        <v>1</v>
      </c>
      <c r="M103" s="6"/>
      <c r="S103" s="5">
        <f>IF($J103=1,D103,"")</f>
        <v>18802</v>
      </c>
      <c r="T103" s="5">
        <f>IF($J303=0, D303,"")</f>
        <v>27599</v>
      </c>
      <c r="U103" s="5">
        <f>IF($J103=1,F103,"")</f>
        <v>4776</v>
      </c>
      <c r="V103" s="5">
        <f>IF($J303=0,F303,"")</f>
        <v>4670</v>
      </c>
      <c r="W103" s="5">
        <f>IF($J103=1,G103,"")</f>
        <v>57</v>
      </c>
      <c r="X103">
        <f>IF($J303=0,G303,"")</f>
        <v>56</v>
      </c>
      <c r="Y103">
        <f>IF($J103=1,H103,"")</f>
        <v>9.4</v>
      </c>
      <c r="Z103">
        <f>IF($J303=0,H303,"")</f>
        <v>8.1999999999999993</v>
      </c>
    </row>
    <row r="104" spans="1:26" x14ac:dyDescent="0.3">
      <c r="A104">
        <v>316</v>
      </c>
      <c r="B104" t="s">
        <v>63</v>
      </c>
      <c r="C104">
        <v>5</v>
      </c>
      <c r="D104" s="5">
        <v>11300</v>
      </c>
      <c r="E104" t="s">
        <v>68</v>
      </c>
      <c r="F104" s="5">
        <v>4767</v>
      </c>
      <c r="G104">
        <v>66</v>
      </c>
      <c r="H104">
        <v>7.6</v>
      </c>
      <c r="I104">
        <v>0.4756475371632678</v>
      </c>
      <c r="J104">
        <v>1</v>
      </c>
      <c r="M104" s="6"/>
      <c r="S104" s="5">
        <f>IF($J104=1,D104,"")</f>
        <v>11300</v>
      </c>
      <c r="T104" s="5">
        <f>IF($J304=0, D304,"")</f>
        <v>28642</v>
      </c>
      <c r="U104" s="5">
        <f>IF($J104=1,F104,"")</f>
        <v>4767</v>
      </c>
      <c r="V104" s="5">
        <f>IF($J304=0,F304,"")</f>
        <v>4236</v>
      </c>
      <c r="W104" s="5">
        <f>IF($J104=1,G104,"")</f>
        <v>66</v>
      </c>
      <c r="X104">
        <f>IF($J304=0,G304,"")</f>
        <v>52</v>
      </c>
      <c r="Y104">
        <f>IF($J104=1,H104,"")</f>
        <v>7.6</v>
      </c>
      <c r="Z104">
        <f>IF($J304=0,H304,"")</f>
        <v>1.4</v>
      </c>
    </row>
    <row r="105" spans="1:26" x14ac:dyDescent="0.3">
      <c r="A105">
        <v>224</v>
      </c>
      <c r="B105" t="s">
        <v>63</v>
      </c>
      <c r="C105">
        <v>5</v>
      </c>
      <c r="D105" s="5">
        <v>19868</v>
      </c>
      <c r="E105" t="s">
        <v>67</v>
      </c>
      <c r="F105" s="5">
        <v>3790</v>
      </c>
      <c r="G105">
        <v>99</v>
      </c>
      <c r="H105">
        <v>4.9000000000000004</v>
      </c>
      <c r="I105">
        <v>0.76242607069350576</v>
      </c>
      <c r="J105">
        <v>1</v>
      </c>
      <c r="M105" s="6"/>
      <c r="S105" s="5">
        <f>IF($J105=1,D105,"")</f>
        <v>19868</v>
      </c>
      <c r="T105" s="5">
        <f>IF($J305=0, D305,"")</f>
        <v>22281</v>
      </c>
      <c r="U105" s="5">
        <f>IF($J105=1,F105,"")</f>
        <v>3790</v>
      </c>
      <c r="V105" s="5">
        <f>IF($J305=0,F305,"")</f>
        <v>5536</v>
      </c>
      <c r="W105" s="5">
        <f>IF($J105=1,G105,"")</f>
        <v>99</v>
      </c>
      <c r="X105">
        <f>IF($J305=0,G305,"")</f>
        <v>76</v>
      </c>
      <c r="Y105">
        <f>IF($J105=1,H105,"")</f>
        <v>4.9000000000000004</v>
      </c>
      <c r="Z105">
        <f>IF($J305=0,H305,"")</f>
        <v>5.5</v>
      </c>
    </row>
    <row r="106" spans="1:26" x14ac:dyDescent="0.3">
      <c r="A106">
        <v>44</v>
      </c>
      <c r="B106" t="s">
        <v>65</v>
      </c>
      <c r="C106">
        <v>8</v>
      </c>
      <c r="D106" s="5">
        <v>30000</v>
      </c>
      <c r="E106" t="s">
        <v>67</v>
      </c>
      <c r="F106" s="5">
        <v>4841</v>
      </c>
      <c r="G106">
        <v>93</v>
      </c>
      <c r="H106">
        <v>8.3000000000000007</v>
      </c>
      <c r="I106">
        <v>0.62285550858868877</v>
      </c>
      <c r="J106">
        <v>1</v>
      </c>
      <c r="M106" s="6"/>
      <c r="S106" s="5">
        <f>IF($J106=1,D106,"")</f>
        <v>30000</v>
      </c>
      <c r="T106" s="5">
        <f>IF($J306=0, D306,"")</f>
        <v>43890</v>
      </c>
      <c r="U106" s="5">
        <f>IF($J106=1,F106,"")</f>
        <v>4841</v>
      </c>
      <c r="V106" s="5">
        <f>IF($J306=0,F306,"")</f>
        <v>4934</v>
      </c>
      <c r="W106" s="5">
        <f>IF($J106=1,G106,"")</f>
        <v>93</v>
      </c>
      <c r="X106">
        <f>IF($J306=0,G306,"")</f>
        <v>102</v>
      </c>
      <c r="Y106">
        <f>IF($J106=1,H106,"")</f>
        <v>8.3000000000000007</v>
      </c>
      <c r="Z106">
        <f>IF($J306=0,H306,"")</f>
        <v>2.2000000000000002</v>
      </c>
    </row>
    <row r="107" spans="1:26" x14ac:dyDescent="0.3">
      <c r="A107">
        <v>390</v>
      </c>
      <c r="B107" t="s">
        <v>63</v>
      </c>
      <c r="C107">
        <v>6</v>
      </c>
      <c r="D107" s="5">
        <v>30923</v>
      </c>
      <c r="E107" t="s">
        <v>67</v>
      </c>
      <c r="F107" s="5">
        <v>4431</v>
      </c>
      <c r="G107">
        <v>46</v>
      </c>
      <c r="H107">
        <v>4.7</v>
      </c>
      <c r="I107">
        <v>0.54793123363716179</v>
      </c>
      <c r="J107">
        <v>1</v>
      </c>
      <c r="M107" s="6"/>
      <c r="S107" s="5">
        <f>IF($J107=1,D107,"")</f>
        <v>30923</v>
      </c>
      <c r="T107" s="5">
        <f>IF($J307=0, D307,"")</f>
        <v>35720</v>
      </c>
      <c r="U107" s="5">
        <f>IF($J107=1,F107,"")</f>
        <v>4431</v>
      </c>
      <c r="V107" s="5">
        <f>IF($J307=0,F307,"")</f>
        <v>4036</v>
      </c>
      <c r="W107" s="5">
        <f>IF($J107=1,G107,"")</f>
        <v>46</v>
      </c>
      <c r="X107">
        <f>IF($J307=0,G307,"")</f>
        <v>24</v>
      </c>
      <c r="Y107">
        <f>IF($J107=1,H107,"")</f>
        <v>4.7</v>
      </c>
      <c r="Z107">
        <f>IF($J307=0,H307,"")</f>
        <v>15</v>
      </c>
    </row>
    <row r="108" spans="1:26" x14ac:dyDescent="0.3">
      <c r="A108">
        <v>78</v>
      </c>
      <c r="B108" t="s">
        <v>63</v>
      </c>
      <c r="C108">
        <v>5</v>
      </c>
      <c r="D108" s="5">
        <v>28399</v>
      </c>
      <c r="E108" t="s">
        <v>68</v>
      </c>
      <c r="F108" s="5">
        <v>5047</v>
      </c>
      <c r="G108">
        <v>96</v>
      </c>
      <c r="H108">
        <v>7.5</v>
      </c>
      <c r="I108">
        <v>0.38686442138595611</v>
      </c>
      <c r="J108">
        <v>1</v>
      </c>
      <c r="M108" s="6"/>
      <c r="S108" s="5">
        <f>IF($J108=1,D108,"")</f>
        <v>28399</v>
      </c>
      <c r="T108" s="5">
        <f>IF($J308=0, D308,"")</f>
        <v>30529</v>
      </c>
      <c r="U108" s="5">
        <f>IF($J108=1,F108,"")</f>
        <v>5047</v>
      </c>
      <c r="V108" s="5">
        <f>IF($J308=0,F308,"")</f>
        <v>6815</v>
      </c>
      <c r="W108" s="5">
        <f>IF($J108=1,G108,"")</f>
        <v>96</v>
      </c>
      <c r="X108">
        <f>IF($J308=0,G308,"")</f>
        <v>47</v>
      </c>
      <c r="Y108">
        <f>IF($J108=1,H108,"")</f>
        <v>7.5</v>
      </c>
      <c r="Z108">
        <f>IF($J308=0,H308,"")</f>
        <v>10.9</v>
      </c>
    </row>
    <row r="109" spans="1:26" x14ac:dyDescent="0.3">
      <c r="A109">
        <v>125</v>
      </c>
      <c r="B109" t="s">
        <v>63</v>
      </c>
      <c r="C109">
        <v>7</v>
      </c>
      <c r="D109" s="5">
        <v>22923</v>
      </c>
      <c r="E109" t="s">
        <v>67</v>
      </c>
      <c r="F109" s="5">
        <v>6271</v>
      </c>
      <c r="G109">
        <v>81</v>
      </c>
      <c r="H109">
        <v>9.5</v>
      </c>
      <c r="I109">
        <v>0.95628072983947088</v>
      </c>
      <c r="J109">
        <v>1</v>
      </c>
      <c r="M109" s="6"/>
      <c r="S109" s="5">
        <f>IF($J109=1,D109,"")</f>
        <v>22923</v>
      </c>
      <c r="T109" s="5">
        <f>IF($J309=0, D309,"")</f>
        <v>38186</v>
      </c>
      <c r="U109" s="5">
        <f>IF($J109=1,F109,"")</f>
        <v>6271</v>
      </c>
      <c r="V109" s="5">
        <f>IF($J309=0,F309,"")</f>
        <v>5233</v>
      </c>
      <c r="W109" s="5">
        <f>IF($J109=1,G109,"")</f>
        <v>81</v>
      </c>
      <c r="X109">
        <f>IF($J309=0,G309,"")</f>
        <v>62</v>
      </c>
      <c r="Y109">
        <f>IF($J109=1,H109,"")</f>
        <v>9.5</v>
      </c>
      <c r="Z109">
        <f>IF($J309=0,H309,"")</f>
        <v>14.6</v>
      </c>
    </row>
    <row r="110" spans="1:26" x14ac:dyDescent="0.3">
      <c r="A110">
        <v>346</v>
      </c>
      <c r="B110" t="s">
        <v>64</v>
      </c>
      <c r="C110">
        <v>3</v>
      </c>
      <c r="D110" s="5">
        <v>32264</v>
      </c>
      <c r="E110" t="s">
        <v>69</v>
      </c>
      <c r="F110" s="5">
        <v>4792</v>
      </c>
      <c r="G110">
        <v>102</v>
      </c>
      <c r="H110">
        <v>5.3</v>
      </c>
      <c r="I110">
        <v>0.95678149661634793</v>
      </c>
      <c r="J110">
        <v>1</v>
      </c>
      <c r="M110" s="6"/>
      <c r="S110" s="5">
        <f>IF($J110=1,D110,"")</f>
        <v>32264</v>
      </c>
      <c r="T110" s="5">
        <f>IF($J310=0, D310,"")</f>
        <v>17754</v>
      </c>
      <c r="U110" s="5">
        <f>IF($J110=1,F110,"")</f>
        <v>4792</v>
      </c>
      <c r="V110" s="5">
        <f>IF($J310=0,F310,"")</f>
        <v>4601</v>
      </c>
      <c r="W110" s="5">
        <f>IF($J110=1,G110,"")</f>
        <v>102</v>
      </c>
      <c r="X110">
        <f>IF($J310=0,G310,"")</f>
        <v>62</v>
      </c>
      <c r="Y110">
        <f>IF($J110=1,H110,"")</f>
        <v>5.3</v>
      </c>
      <c r="Z110">
        <f>IF($J310=0,H310,"")</f>
        <v>7.1</v>
      </c>
    </row>
    <row r="111" spans="1:26" x14ac:dyDescent="0.3">
      <c r="A111">
        <v>135</v>
      </c>
      <c r="B111" t="s">
        <v>63</v>
      </c>
      <c r="C111">
        <v>2</v>
      </c>
      <c r="D111" s="5">
        <v>39360</v>
      </c>
      <c r="E111" t="s">
        <v>67</v>
      </c>
      <c r="F111" s="5">
        <v>4257</v>
      </c>
      <c r="G111">
        <v>60</v>
      </c>
      <c r="H111">
        <v>2.6</v>
      </c>
      <c r="I111">
        <v>0.38753336553851014</v>
      </c>
      <c r="J111">
        <v>1</v>
      </c>
      <c r="M111" s="6"/>
      <c r="S111" s="5">
        <f>IF($J111=1,D111,"")</f>
        <v>39360</v>
      </c>
      <c r="T111" s="5">
        <f>IF($J311=0, D311,"")</f>
        <v>26888</v>
      </c>
      <c r="U111" s="5">
        <f>IF($J111=1,F111,"")</f>
        <v>4257</v>
      </c>
      <c r="V111" s="5">
        <f>IF($J311=0,F311,"")</f>
        <v>4495</v>
      </c>
      <c r="W111" s="5">
        <f>IF($J111=1,G111,"")</f>
        <v>60</v>
      </c>
      <c r="X111">
        <f>IF($J311=0,G311,"")</f>
        <v>91</v>
      </c>
      <c r="Y111">
        <f>IF($J111=1,H111,"")</f>
        <v>2.6</v>
      </c>
      <c r="Z111">
        <f>IF($J311=0,H311,"")</f>
        <v>2</v>
      </c>
    </row>
    <row r="112" spans="1:26" x14ac:dyDescent="0.3">
      <c r="A112">
        <v>23</v>
      </c>
      <c r="B112" t="s">
        <v>65</v>
      </c>
      <c r="C112">
        <v>2</v>
      </c>
      <c r="D112" s="5">
        <v>33425</v>
      </c>
      <c r="E112" t="s">
        <v>69</v>
      </c>
      <c r="F112" s="5">
        <v>3610</v>
      </c>
      <c r="G112">
        <v>40</v>
      </c>
      <c r="H112">
        <v>5.5</v>
      </c>
      <c r="I112">
        <v>0.98033810980978331</v>
      </c>
      <c r="J112">
        <v>1</v>
      </c>
      <c r="M112" s="6"/>
      <c r="S112" s="5">
        <f>IF($J112=1,D112,"")</f>
        <v>33425</v>
      </c>
      <c r="T112" s="5">
        <f>IF($J312=0, D312,"")</f>
        <v>31701</v>
      </c>
      <c r="U112" s="5">
        <f>IF($J112=1,F112,"")</f>
        <v>3610</v>
      </c>
      <c r="V112" s="5">
        <f>IF($J312=0,F312,"")</f>
        <v>4853</v>
      </c>
      <c r="W112" s="5">
        <f>IF($J112=1,G112,"")</f>
        <v>40</v>
      </c>
      <c r="X112">
        <f>IF($J312=0,G312,"")</f>
        <v>72</v>
      </c>
      <c r="Y112">
        <f>IF($J112=1,H112,"")</f>
        <v>5.5</v>
      </c>
      <c r="Z112">
        <f>IF($J312=0,H312,"")</f>
        <v>10.8</v>
      </c>
    </row>
    <row r="113" spans="1:26" x14ac:dyDescent="0.3">
      <c r="A113">
        <v>56</v>
      </c>
      <c r="B113" t="s">
        <v>62</v>
      </c>
      <c r="C113">
        <v>7</v>
      </c>
      <c r="D113" s="5">
        <v>21701</v>
      </c>
      <c r="E113" t="s">
        <v>68</v>
      </c>
      <c r="F113" s="5">
        <v>5932</v>
      </c>
      <c r="G113">
        <v>28</v>
      </c>
      <c r="H113">
        <v>9.3000000000000007</v>
      </c>
      <c r="I113">
        <v>0.72574860624892823</v>
      </c>
      <c r="J113">
        <v>1</v>
      </c>
      <c r="M113" s="6"/>
      <c r="S113" s="5">
        <f>IF($J113=1,D113,"")</f>
        <v>21701</v>
      </c>
      <c r="T113" s="5">
        <f>IF($J313=0, D313,"")</f>
        <v>35944</v>
      </c>
      <c r="U113" s="5">
        <f>IF($J113=1,F113,"")</f>
        <v>5932</v>
      </c>
      <c r="V113" s="5">
        <f>IF($J313=0,F313,"")</f>
        <v>5487</v>
      </c>
      <c r="W113" s="5">
        <f>IF($J113=1,G113,"")</f>
        <v>28</v>
      </c>
      <c r="X113">
        <f>IF($J313=0,G313,"")</f>
        <v>18</v>
      </c>
      <c r="Y113">
        <f>IF($J113=1,H113,"")</f>
        <v>9.3000000000000007</v>
      </c>
      <c r="Z113">
        <f>IF($J313=0,H313,"")</f>
        <v>6</v>
      </c>
    </row>
    <row r="114" spans="1:26" x14ac:dyDescent="0.3">
      <c r="A114">
        <v>93</v>
      </c>
      <c r="B114" t="s">
        <v>65</v>
      </c>
      <c r="C114">
        <v>3</v>
      </c>
      <c r="D114" s="5">
        <v>28882</v>
      </c>
      <c r="E114" t="s">
        <v>68</v>
      </c>
      <c r="F114" s="5">
        <v>5113</v>
      </c>
      <c r="G114">
        <v>93</v>
      </c>
      <c r="H114">
        <v>1.7</v>
      </c>
      <c r="I114">
        <v>0.27887009186675493</v>
      </c>
      <c r="J114">
        <v>1</v>
      </c>
      <c r="M114" s="6"/>
      <c r="S114" s="5">
        <f>IF($J114=1,D114,"")</f>
        <v>28882</v>
      </c>
      <c r="T114" s="5">
        <f>IF($J314=0, D314,"")</f>
        <v>25511</v>
      </c>
      <c r="U114" s="5">
        <f>IF($J114=1,F114,"")</f>
        <v>5113</v>
      </c>
      <c r="V114" s="5">
        <f>IF($J314=0,F314,"")</f>
        <v>4802</v>
      </c>
      <c r="W114" s="5">
        <f>IF($J114=1,G114,"")</f>
        <v>93</v>
      </c>
      <c r="X114">
        <f>IF($J314=0,G314,"")</f>
        <v>96</v>
      </c>
      <c r="Y114">
        <f>IF($J114=1,H114,"")</f>
        <v>1.7</v>
      </c>
      <c r="Z114">
        <f>IF($J314=0,H314,"")</f>
        <v>12.3</v>
      </c>
    </row>
    <row r="115" spans="1:26" x14ac:dyDescent="0.3">
      <c r="A115">
        <v>165</v>
      </c>
      <c r="B115" t="s">
        <v>64</v>
      </c>
      <c r="C115">
        <v>8</v>
      </c>
      <c r="D115" s="5">
        <v>15079</v>
      </c>
      <c r="E115" t="s">
        <v>68</v>
      </c>
      <c r="F115" s="5">
        <v>5175</v>
      </c>
      <c r="G115">
        <v>117</v>
      </c>
      <c r="H115">
        <v>4.4000000000000004</v>
      </c>
      <c r="I115">
        <v>0.62301678325789411</v>
      </c>
      <c r="J115">
        <v>1</v>
      </c>
      <c r="M115" s="6"/>
      <c r="S115" s="5">
        <f>IF($J115=1,D115,"")</f>
        <v>15079</v>
      </c>
      <c r="T115" s="5">
        <f>IF($J315=0, D315,"")</f>
        <v>44866</v>
      </c>
      <c r="U115" s="5">
        <f>IF($J115=1,F115,"")</f>
        <v>5175</v>
      </c>
      <c r="V115" s="5">
        <f>IF($J315=0,F315,"")</f>
        <v>5981</v>
      </c>
      <c r="W115" s="5">
        <f>IF($J115=1,G115,"")</f>
        <v>117</v>
      </c>
      <c r="X115">
        <f>IF($J315=0,G315,"")</f>
        <v>65</v>
      </c>
      <c r="Y115">
        <f>IF($J115=1,H115,"")</f>
        <v>4.4000000000000004</v>
      </c>
      <c r="Z115">
        <f>IF($J315=0,H315,"")</f>
        <v>5.8</v>
      </c>
    </row>
    <row r="116" spans="1:26" x14ac:dyDescent="0.3">
      <c r="A116">
        <v>206</v>
      </c>
      <c r="B116" t="s">
        <v>63</v>
      </c>
      <c r="C116">
        <v>5</v>
      </c>
      <c r="D116" s="5">
        <v>20004</v>
      </c>
      <c r="E116" t="s">
        <v>67</v>
      </c>
      <c r="F116" s="5">
        <v>5761</v>
      </c>
      <c r="G116">
        <v>56</v>
      </c>
      <c r="H116">
        <v>13.8</v>
      </c>
      <c r="I116">
        <v>0.72240857704212214</v>
      </c>
      <c r="J116">
        <v>1</v>
      </c>
      <c r="M116" s="6"/>
      <c r="S116" s="5">
        <f>IF($J116=1,D116,"")</f>
        <v>20004</v>
      </c>
      <c r="T116" s="5">
        <f>IF($J316=0, D316,"")</f>
        <v>30093</v>
      </c>
      <c r="U116" s="5">
        <f>IF($J116=1,F116,"")</f>
        <v>5761</v>
      </c>
      <c r="V116" s="5">
        <f>IF($J316=0,F316,"")</f>
        <v>6156</v>
      </c>
      <c r="W116" s="5">
        <f>IF($J116=1,G116,"")</f>
        <v>56</v>
      </c>
      <c r="X116">
        <f>IF($J316=0,G316,"")</f>
        <v>32</v>
      </c>
      <c r="Y116">
        <f>IF($J116=1,H116,"")</f>
        <v>13.8</v>
      </c>
      <c r="Z116">
        <f>IF($J316=0,H316,"")</f>
        <v>2.9</v>
      </c>
    </row>
    <row r="117" spans="1:26" x14ac:dyDescent="0.3">
      <c r="A117">
        <v>49</v>
      </c>
      <c r="B117" t="s">
        <v>64</v>
      </c>
      <c r="C117">
        <v>4</v>
      </c>
      <c r="D117" s="5">
        <v>35370</v>
      </c>
      <c r="E117" t="s">
        <v>68</v>
      </c>
      <c r="F117" s="5">
        <v>3397</v>
      </c>
      <c r="G117">
        <v>96</v>
      </c>
      <c r="H117">
        <v>9.3000000000000007</v>
      </c>
      <c r="I117">
        <v>0.67371292363670887</v>
      </c>
      <c r="J117">
        <v>1</v>
      </c>
      <c r="M117" s="6"/>
      <c r="S117" s="5">
        <f>IF($J117=1,D117,"")</f>
        <v>35370</v>
      </c>
      <c r="T117" s="5">
        <f>IF($J317=0, D317,"")</f>
        <v>37583</v>
      </c>
      <c r="U117" s="5">
        <f>IF($J117=1,F117,"")</f>
        <v>3397</v>
      </c>
      <c r="V117" s="5">
        <f>IF($J317=0,F317,"")</f>
        <v>4992</v>
      </c>
      <c r="W117" s="5">
        <f>IF($J117=1,G117,"")</f>
        <v>96</v>
      </c>
      <c r="X117">
        <f>IF($J317=0,G317,"")</f>
        <v>115</v>
      </c>
      <c r="Y117">
        <f>IF($J117=1,H117,"")</f>
        <v>9.3000000000000007</v>
      </c>
      <c r="Z117">
        <f>IF($J317=0,H317,"")</f>
        <v>7.1</v>
      </c>
    </row>
    <row r="118" spans="1:26" x14ac:dyDescent="0.3">
      <c r="A118">
        <v>198</v>
      </c>
      <c r="B118" t="s">
        <v>63</v>
      </c>
      <c r="C118">
        <v>3</v>
      </c>
      <c r="D118" s="5">
        <v>36007</v>
      </c>
      <c r="E118" t="s">
        <v>67</v>
      </c>
      <c r="F118" s="5">
        <v>4699</v>
      </c>
      <c r="G118">
        <v>16</v>
      </c>
      <c r="H118">
        <v>8.6</v>
      </c>
      <c r="I118">
        <v>0.26412674648078782</v>
      </c>
      <c r="J118">
        <v>1</v>
      </c>
      <c r="M118" s="6"/>
      <c r="S118" s="5">
        <f>IF($J118=1,D118,"")</f>
        <v>36007</v>
      </c>
      <c r="T118" s="5">
        <f>IF($J318=0, D318,"")</f>
        <v>31536</v>
      </c>
      <c r="U118" s="5">
        <f>IF($J118=1,F118,"")</f>
        <v>4699</v>
      </c>
      <c r="V118" s="5">
        <f>IF($J318=0,F318,"")</f>
        <v>5837</v>
      </c>
      <c r="W118" s="5">
        <f>IF($J118=1,G118,"")</f>
        <v>16</v>
      </c>
      <c r="X118">
        <f>IF($J318=0,G318,"")</f>
        <v>93</v>
      </c>
      <c r="Y118">
        <f>IF($J118=1,H118,"")</f>
        <v>8.6</v>
      </c>
      <c r="Z118">
        <f>IF($J318=0,H318,"")</f>
        <v>8.6</v>
      </c>
    </row>
    <row r="119" spans="1:26" x14ac:dyDescent="0.3">
      <c r="A119">
        <v>118</v>
      </c>
      <c r="B119" t="s">
        <v>65</v>
      </c>
      <c r="C119">
        <v>3</v>
      </c>
      <c r="D119" s="5">
        <v>30700</v>
      </c>
      <c r="E119" t="s">
        <v>69</v>
      </c>
      <c r="F119" s="5">
        <v>4774</v>
      </c>
      <c r="G119">
        <v>36</v>
      </c>
      <c r="H119">
        <v>0.5</v>
      </c>
      <c r="I119">
        <v>0.35966753311330912</v>
      </c>
      <c r="J119">
        <v>1</v>
      </c>
      <c r="M119" s="6"/>
      <c r="S119" s="5">
        <f>IF($J119=1,D119,"")</f>
        <v>30700</v>
      </c>
      <c r="T119" s="5">
        <f>IF($J319=0, D319,"")</f>
        <v>22133</v>
      </c>
      <c r="U119" s="5">
        <f>IF($J119=1,F119,"")</f>
        <v>4774</v>
      </c>
      <c r="V119" s="5">
        <f>IF($J319=0,F319,"")</f>
        <v>4392</v>
      </c>
      <c r="W119" s="5">
        <f>IF($J119=1,G119,"")</f>
        <v>36</v>
      </c>
      <c r="X119">
        <f>IF($J319=0,G319,"")</f>
        <v>117</v>
      </c>
      <c r="Y119">
        <f>IF($J119=1,H119,"")</f>
        <v>0.5</v>
      </c>
      <c r="Z119">
        <f>IF($J319=0,H319,"")</f>
        <v>5.9</v>
      </c>
    </row>
    <row r="120" spans="1:26" x14ac:dyDescent="0.3">
      <c r="A120">
        <v>62</v>
      </c>
      <c r="B120" t="s">
        <v>64</v>
      </c>
      <c r="C120">
        <v>8</v>
      </c>
      <c r="D120" s="5">
        <v>37581</v>
      </c>
      <c r="E120" t="s">
        <v>68</v>
      </c>
      <c r="F120" s="5">
        <v>5941</v>
      </c>
      <c r="G120">
        <v>53</v>
      </c>
      <c r="H120">
        <v>2.4</v>
      </c>
      <c r="I120">
        <v>0.65604649754217637</v>
      </c>
      <c r="J120">
        <v>1</v>
      </c>
      <c r="M120" s="6"/>
      <c r="S120" s="5">
        <f>IF($J120=1,D120,"")</f>
        <v>37581</v>
      </c>
      <c r="T120" s="5">
        <f>IF($J320=0, D320,"")</f>
        <v>32018</v>
      </c>
      <c r="U120" s="5">
        <f>IF($J120=1,F120,"")</f>
        <v>5941</v>
      </c>
      <c r="V120" s="5">
        <f>IF($J320=0,F320,"")</f>
        <v>3212</v>
      </c>
      <c r="W120" s="5">
        <f>IF($J120=1,G120,"")</f>
        <v>53</v>
      </c>
      <c r="X120">
        <f>IF($J320=0,G320,"")</f>
        <v>108</v>
      </c>
      <c r="Y120">
        <f>IF($J120=1,H120,"")</f>
        <v>2.4</v>
      </c>
      <c r="Z120">
        <f>IF($J320=0,H320,"")</f>
        <v>1.8</v>
      </c>
    </row>
    <row r="121" spans="1:26" x14ac:dyDescent="0.3">
      <c r="A121">
        <v>267</v>
      </c>
      <c r="B121" t="s">
        <v>65</v>
      </c>
      <c r="C121">
        <v>8</v>
      </c>
      <c r="D121" s="5">
        <v>27364</v>
      </c>
      <c r="E121" t="s">
        <v>69</v>
      </c>
      <c r="F121" s="5">
        <v>5743</v>
      </c>
      <c r="G121">
        <v>52</v>
      </c>
      <c r="H121">
        <v>8</v>
      </c>
      <c r="I121">
        <v>0.57672025124499615</v>
      </c>
      <c r="J121">
        <v>1</v>
      </c>
      <c r="M121" s="6"/>
      <c r="S121" s="5">
        <f>IF($J121=1,D121,"")</f>
        <v>27364</v>
      </c>
      <c r="T121" s="5">
        <f>IF($J321=0, D321,"")</f>
        <v>24901</v>
      </c>
      <c r="U121" s="5">
        <f>IF($J121=1,F121,"")</f>
        <v>5743</v>
      </c>
      <c r="V121" s="5">
        <f>IF($J321=0,F321,"")</f>
        <v>4087</v>
      </c>
      <c r="W121" s="5">
        <f>IF($J121=1,G121,"")</f>
        <v>52</v>
      </c>
      <c r="X121">
        <f>IF($J321=0,G321,"")</f>
        <v>33</v>
      </c>
      <c r="Y121">
        <f>IF($J121=1,H121,"")</f>
        <v>8</v>
      </c>
      <c r="Z121">
        <f>IF($J321=0,H321,"")</f>
        <v>5.8</v>
      </c>
    </row>
    <row r="122" spans="1:26" x14ac:dyDescent="0.3">
      <c r="A122">
        <v>315</v>
      </c>
      <c r="B122" t="s">
        <v>64</v>
      </c>
      <c r="C122">
        <v>4</v>
      </c>
      <c r="D122" s="5">
        <v>26678</v>
      </c>
      <c r="E122" t="s">
        <v>68</v>
      </c>
      <c r="F122" s="5">
        <v>5344</v>
      </c>
      <c r="G122">
        <v>81</v>
      </c>
      <c r="H122">
        <v>7</v>
      </c>
      <c r="I122">
        <v>0.85869309057675636</v>
      </c>
      <c r="J122">
        <v>1</v>
      </c>
      <c r="M122" s="6"/>
      <c r="S122" s="5">
        <f>IF($J122=1,D122,"")</f>
        <v>26678</v>
      </c>
      <c r="T122" s="5">
        <f>IF($J322=0, D322,"")</f>
        <v>31799</v>
      </c>
      <c r="U122" s="5">
        <f>IF($J122=1,F122,"")</f>
        <v>5344</v>
      </c>
      <c r="V122" s="5">
        <f>IF($J322=0,F322,"")</f>
        <v>5392</v>
      </c>
      <c r="W122" s="5">
        <f>IF($J122=1,G122,"")</f>
        <v>81</v>
      </c>
      <c r="X122">
        <f>IF($J322=0,G322,"")</f>
        <v>56</v>
      </c>
      <c r="Y122">
        <f>IF($J122=1,H122,"")</f>
        <v>7</v>
      </c>
      <c r="Z122">
        <f>IF($J322=0,H322,"")</f>
        <v>4.8</v>
      </c>
    </row>
    <row r="123" spans="1:26" x14ac:dyDescent="0.3">
      <c r="A123">
        <v>391</v>
      </c>
      <c r="B123" t="s">
        <v>65</v>
      </c>
      <c r="C123">
        <v>8</v>
      </c>
      <c r="D123" s="5">
        <v>41103</v>
      </c>
      <c r="E123" t="s">
        <v>68</v>
      </c>
      <c r="F123" s="5">
        <v>5911</v>
      </c>
      <c r="G123">
        <v>65</v>
      </c>
      <c r="H123">
        <v>6.7</v>
      </c>
      <c r="I123">
        <v>0.97962604800631281</v>
      </c>
      <c r="J123">
        <v>1</v>
      </c>
      <c r="M123" s="6"/>
      <c r="S123" s="5">
        <f>IF($J123=1,D123,"")</f>
        <v>41103</v>
      </c>
      <c r="T123" s="5">
        <f>IF($J323=0, D323,"")</f>
        <v>14497</v>
      </c>
      <c r="U123" s="5">
        <f>IF($J123=1,F123,"")</f>
        <v>5911</v>
      </c>
      <c r="V123" s="5">
        <f>IF($J323=0,F323,"")</f>
        <v>3888</v>
      </c>
      <c r="W123" s="5">
        <f>IF($J123=1,G123,"")</f>
        <v>65</v>
      </c>
      <c r="X123">
        <f>IF($J323=0,G323,"")</f>
        <v>37</v>
      </c>
      <c r="Y123">
        <f>IF($J123=1,H123,"")</f>
        <v>6.7</v>
      </c>
      <c r="Z123">
        <f>IF($J323=0,H323,"")</f>
        <v>14.6</v>
      </c>
    </row>
    <row r="124" spans="1:26" x14ac:dyDescent="0.3">
      <c r="A124">
        <v>338</v>
      </c>
      <c r="B124" t="s">
        <v>65</v>
      </c>
      <c r="C124">
        <v>8</v>
      </c>
      <c r="D124" s="5">
        <v>17342</v>
      </c>
      <c r="E124" t="s">
        <v>68</v>
      </c>
      <c r="F124" s="5">
        <v>5003</v>
      </c>
      <c r="G124">
        <v>92</v>
      </c>
      <c r="H124">
        <v>3.3</v>
      </c>
      <c r="I124">
        <v>0.98991424627336944</v>
      </c>
      <c r="J124">
        <v>1</v>
      </c>
      <c r="M124" s="6"/>
      <c r="S124" s="5">
        <f>IF($J124=1,D124,"")</f>
        <v>17342</v>
      </c>
      <c r="T124" s="5">
        <f>IF($J324=0, D324,"")</f>
        <v>44305</v>
      </c>
      <c r="U124" s="5">
        <f>IF($J124=1,F124,"")</f>
        <v>5003</v>
      </c>
      <c r="V124" s="5">
        <f>IF($J324=0,F324,"")</f>
        <v>5126</v>
      </c>
      <c r="W124" s="5">
        <f>IF($J124=1,G124,"")</f>
        <v>92</v>
      </c>
      <c r="X124">
        <f>IF($J324=0,G324,"")</f>
        <v>77</v>
      </c>
      <c r="Y124">
        <f>IF($J124=1,H124,"")</f>
        <v>3.3</v>
      </c>
      <c r="Z124">
        <f>IF($J324=0,H324,"")</f>
        <v>10.1</v>
      </c>
    </row>
    <row r="125" spans="1:26" x14ac:dyDescent="0.3">
      <c r="A125">
        <v>387</v>
      </c>
      <c r="B125" t="s">
        <v>62</v>
      </c>
      <c r="C125">
        <v>5</v>
      </c>
      <c r="D125" s="5">
        <v>42626</v>
      </c>
      <c r="E125" t="s">
        <v>67</v>
      </c>
      <c r="F125" s="5">
        <v>3968</v>
      </c>
      <c r="G125">
        <v>93</v>
      </c>
      <c r="H125">
        <v>2.2999999999999998</v>
      </c>
      <c r="I125">
        <v>0.71421644097004433</v>
      </c>
      <c r="J125">
        <v>1</v>
      </c>
      <c r="M125" s="6"/>
      <c r="S125" s="5">
        <f>IF($J125=1,D125,"")</f>
        <v>42626</v>
      </c>
      <c r="T125" s="5">
        <f>IF($J325=0, D325,"")</f>
        <v>30548</v>
      </c>
      <c r="U125" s="5">
        <f>IF($J125=1,F125,"")</f>
        <v>3968</v>
      </c>
      <c r="V125" s="5">
        <f>IF($J325=0,F325,"")</f>
        <v>5591</v>
      </c>
      <c r="W125" s="5">
        <f>IF($J125=1,G125,"")</f>
        <v>93</v>
      </c>
      <c r="X125">
        <f>IF($J325=0,G325,"")</f>
        <v>16</v>
      </c>
      <c r="Y125">
        <f>IF($J125=1,H125,"")</f>
        <v>2.2999999999999998</v>
      </c>
      <c r="Z125">
        <f>IF($J325=0,H325,"")</f>
        <v>3.7</v>
      </c>
    </row>
    <row r="126" spans="1:26" x14ac:dyDescent="0.3">
      <c r="A126">
        <v>176</v>
      </c>
      <c r="B126" t="s">
        <v>64</v>
      </c>
      <c r="C126">
        <v>2</v>
      </c>
      <c r="D126" s="5">
        <v>25136</v>
      </c>
      <c r="E126" t="s">
        <v>69</v>
      </c>
      <c r="F126" s="5">
        <v>2887</v>
      </c>
      <c r="G126">
        <v>25</v>
      </c>
      <c r="H126">
        <v>6.2</v>
      </c>
      <c r="I126">
        <v>0.58931755657172835</v>
      </c>
      <c r="J126">
        <v>1</v>
      </c>
      <c r="M126" s="6"/>
      <c r="S126" s="5">
        <f>IF($J126=1,D126,"")</f>
        <v>25136</v>
      </c>
      <c r="T126" s="5">
        <f>IF($J326=0, D326,"")</f>
        <v>26065</v>
      </c>
      <c r="U126" s="5">
        <f>IF($J126=1,F126,"")</f>
        <v>2887</v>
      </c>
      <c r="V126" s="5">
        <f>IF($J326=0,F326,"")</f>
        <v>3670</v>
      </c>
      <c r="W126" s="5">
        <f>IF($J126=1,G126,"")</f>
        <v>25</v>
      </c>
      <c r="X126">
        <f>IF($J326=0,G326,"")</f>
        <v>102</v>
      </c>
      <c r="Y126">
        <f>IF($J126=1,H126,"")</f>
        <v>6.2</v>
      </c>
      <c r="Z126">
        <f>IF($J326=0,H326,"")</f>
        <v>10.1</v>
      </c>
    </row>
    <row r="127" spans="1:26" x14ac:dyDescent="0.3">
      <c r="A127">
        <v>364</v>
      </c>
      <c r="B127" t="s">
        <v>65</v>
      </c>
      <c r="C127">
        <v>6</v>
      </c>
      <c r="D127" s="5">
        <v>24460</v>
      </c>
      <c r="E127" t="s">
        <v>68</v>
      </c>
      <c r="F127" s="5">
        <v>4020</v>
      </c>
      <c r="G127">
        <v>72</v>
      </c>
      <c r="H127">
        <v>12.5</v>
      </c>
      <c r="I127">
        <v>0.7235744204149307</v>
      </c>
      <c r="J127">
        <v>1</v>
      </c>
      <c r="M127" s="6"/>
      <c r="S127" s="5">
        <f>IF($J127=1,D127,"")</f>
        <v>24460</v>
      </c>
      <c r="T127" s="5">
        <f>IF($J327=0, D327,"")</f>
        <v>30876</v>
      </c>
      <c r="U127" s="5">
        <f>IF($J127=1,F127,"")</f>
        <v>4020</v>
      </c>
      <c r="V127" s="5">
        <f>IF($J327=0,F327,"")</f>
        <v>5231</v>
      </c>
      <c r="W127" s="5">
        <f>IF($J127=1,G127,"")</f>
        <v>72</v>
      </c>
      <c r="X127">
        <f>IF($J327=0,G327,"")</f>
        <v>28</v>
      </c>
      <c r="Y127">
        <f>IF($J127=1,H127,"")</f>
        <v>12.5</v>
      </c>
      <c r="Z127">
        <f>IF($J327=0,H327,"")</f>
        <v>1.9</v>
      </c>
    </row>
    <row r="128" spans="1:26" x14ac:dyDescent="0.3">
      <c r="A128">
        <v>380</v>
      </c>
      <c r="B128" t="s">
        <v>63</v>
      </c>
      <c r="C128">
        <v>4</v>
      </c>
      <c r="D128" s="5">
        <v>20855</v>
      </c>
      <c r="E128" t="s">
        <v>68</v>
      </c>
      <c r="F128" s="5">
        <v>4146</v>
      </c>
      <c r="G128">
        <v>28</v>
      </c>
      <c r="H128">
        <v>12.2</v>
      </c>
      <c r="I128">
        <v>0.9747380435760995</v>
      </c>
      <c r="J128">
        <v>1</v>
      </c>
      <c r="M128" s="6"/>
      <c r="S128" s="5">
        <f>IF($J128=1,D128,"")</f>
        <v>20855</v>
      </c>
      <c r="T128" s="5">
        <f>IF($J328=0, D328,"")</f>
        <v>38669</v>
      </c>
      <c r="U128" s="5">
        <f>IF($J128=1,F128,"")</f>
        <v>4146</v>
      </c>
      <c r="V128" s="5">
        <f>IF($J328=0,F328,"")</f>
        <v>6680</v>
      </c>
      <c r="W128" s="5">
        <f>IF($J128=1,G128,"")</f>
        <v>28</v>
      </c>
      <c r="X128">
        <f>IF($J328=0,G328,"")</f>
        <v>50</v>
      </c>
      <c r="Y128">
        <f>IF($J128=1,H128,"")</f>
        <v>12.2</v>
      </c>
      <c r="Z128">
        <f>IF($J328=0,H328,"")</f>
        <v>0.5</v>
      </c>
    </row>
    <row r="129" spans="1:26" x14ac:dyDescent="0.3">
      <c r="A129">
        <v>19</v>
      </c>
      <c r="B129" t="s">
        <v>64</v>
      </c>
      <c r="C129">
        <v>2</v>
      </c>
      <c r="D129" s="5">
        <v>37100</v>
      </c>
      <c r="E129" t="s">
        <v>68</v>
      </c>
      <c r="F129" s="5">
        <v>4609</v>
      </c>
      <c r="G129">
        <v>88</v>
      </c>
      <c r="H129">
        <v>7</v>
      </c>
      <c r="I129">
        <v>0.15532786659319908</v>
      </c>
      <c r="J129">
        <v>1</v>
      </c>
      <c r="M129" s="6"/>
      <c r="S129" s="5">
        <f>IF($J129=1,D129,"")</f>
        <v>37100</v>
      </c>
      <c r="T129" s="5">
        <f>IF($J329=0, D329,"")</f>
        <v>27229</v>
      </c>
      <c r="U129" s="5">
        <f>IF($J129=1,F129,"")</f>
        <v>4609</v>
      </c>
      <c r="V129" s="5">
        <f>IF($J329=0,F329,"")</f>
        <v>3640</v>
      </c>
      <c r="W129" s="5">
        <f>IF($J129=1,G129,"")</f>
        <v>88</v>
      </c>
      <c r="X129">
        <f>IF($J329=0,G329,"")</f>
        <v>48</v>
      </c>
      <c r="Y129">
        <f>IF($J129=1,H129,"")</f>
        <v>7</v>
      </c>
      <c r="Z129">
        <f>IF($J329=0,H329,"")</f>
        <v>9.5</v>
      </c>
    </row>
    <row r="130" spans="1:26" x14ac:dyDescent="0.3">
      <c r="A130">
        <v>327</v>
      </c>
      <c r="B130" t="s">
        <v>64</v>
      </c>
      <c r="C130">
        <v>5</v>
      </c>
      <c r="D130" s="5">
        <v>21492</v>
      </c>
      <c r="E130" t="s">
        <v>67</v>
      </c>
      <c r="F130" s="5">
        <v>5335</v>
      </c>
      <c r="G130">
        <v>16</v>
      </c>
      <c r="H130">
        <v>14.3</v>
      </c>
      <c r="I130">
        <v>0.90289195582231607</v>
      </c>
      <c r="J130">
        <v>1</v>
      </c>
      <c r="M130" s="6"/>
      <c r="S130" s="5">
        <f>IF($J130=1,D130,"")</f>
        <v>21492</v>
      </c>
      <c r="T130" s="5">
        <f>IF($J330=0, D330,"")</f>
        <v>25365</v>
      </c>
      <c r="U130" s="5">
        <f>IF($J130=1,F130,"")</f>
        <v>5335</v>
      </c>
      <c r="V130" s="5">
        <f>IF($J330=0,F330,"")</f>
        <v>4202</v>
      </c>
      <c r="W130" s="5">
        <f>IF($J130=1,G130,"")</f>
        <v>16</v>
      </c>
      <c r="X130">
        <f>IF($J330=0,G330,"")</f>
        <v>47</v>
      </c>
      <c r="Y130">
        <f>IF($J130=1,H130,"")</f>
        <v>14.3</v>
      </c>
      <c r="Z130">
        <f>IF($J330=0,H330,"")</f>
        <v>8.9</v>
      </c>
    </row>
    <row r="131" spans="1:26" x14ac:dyDescent="0.3">
      <c r="A131">
        <v>66</v>
      </c>
      <c r="B131" t="s">
        <v>63</v>
      </c>
      <c r="C131">
        <v>7</v>
      </c>
      <c r="D131" s="5">
        <v>26841</v>
      </c>
      <c r="E131" t="s">
        <v>68</v>
      </c>
      <c r="F131" s="5">
        <v>5721</v>
      </c>
      <c r="G131">
        <v>58</v>
      </c>
      <c r="H131">
        <v>3.4</v>
      </c>
      <c r="I131">
        <v>0.50293346418018392</v>
      </c>
      <c r="J131">
        <v>1</v>
      </c>
      <c r="M131" s="6"/>
      <c r="S131" s="5">
        <f>IF($J131=1,D131,"")</f>
        <v>26841</v>
      </c>
      <c r="T131" s="5">
        <f>IF($J331=0, D331,"")</f>
        <v>38779</v>
      </c>
      <c r="U131" s="5">
        <f>IF($J131=1,F131,"")</f>
        <v>5721</v>
      </c>
      <c r="V131" s="5">
        <f>IF($J331=0,F331,"")</f>
        <v>5541</v>
      </c>
      <c r="W131" s="5">
        <f>IF($J131=1,G131,"")</f>
        <v>58</v>
      </c>
      <c r="X131">
        <f>IF($J331=0,G331,"")</f>
        <v>86</v>
      </c>
      <c r="Y131">
        <f>IF($J131=1,H131,"")</f>
        <v>3.4</v>
      </c>
      <c r="Z131">
        <f>IF($J331=0,H331,"")</f>
        <v>10.5</v>
      </c>
    </row>
    <row r="132" spans="1:26" x14ac:dyDescent="0.3">
      <c r="A132">
        <v>318</v>
      </c>
      <c r="B132" t="s">
        <v>62</v>
      </c>
      <c r="C132">
        <v>4</v>
      </c>
      <c r="D132" s="5">
        <v>17057</v>
      </c>
      <c r="E132" t="s">
        <v>69</v>
      </c>
      <c r="F132" s="5">
        <v>4320</v>
      </c>
      <c r="G132">
        <v>95</v>
      </c>
      <c r="H132">
        <v>2.8</v>
      </c>
      <c r="I132">
        <v>0.13589486531403716</v>
      </c>
      <c r="J132">
        <v>1</v>
      </c>
      <c r="M132" s="6"/>
      <c r="S132" s="5">
        <f>IF($J132=1,D132,"")</f>
        <v>17057</v>
      </c>
      <c r="T132" s="5">
        <f>IF($J332=0, D332,"")</f>
        <v>24467</v>
      </c>
      <c r="U132" s="5">
        <f>IF($J132=1,F132,"")</f>
        <v>4320</v>
      </c>
      <c r="V132" s="5">
        <f>IF($J332=0,F332,"")</f>
        <v>6594</v>
      </c>
      <c r="W132" s="5">
        <f>IF($J132=1,G132,"")</f>
        <v>95</v>
      </c>
      <c r="X132">
        <f>IF($J332=0,G332,"")</f>
        <v>72</v>
      </c>
      <c r="Y132">
        <f>IF($J132=1,H132,"")</f>
        <v>2.8</v>
      </c>
      <c r="Z132">
        <f>IF($J332=0,H332,"")</f>
        <v>8</v>
      </c>
    </row>
    <row r="133" spans="1:26" x14ac:dyDescent="0.3">
      <c r="A133">
        <v>81</v>
      </c>
      <c r="B133" t="s">
        <v>64</v>
      </c>
      <c r="C133">
        <v>3</v>
      </c>
      <c r="D133" s="5">
        <v>31967</v>
      </c>
      <c r="E133" t="s">
        <v>69</v>
      </c>
      <c r="F133" s="5">
        <v>4043</v>
      </c>
      <c r="G133">
        <v>71</v>
      </c>
      <c r="H133">
        <v>13.7</v>
      </c>
      <c r="I133">
        <v>0.98851018979879335</v>
      </c>
      <c r="J133">
        <v>1</v>
      </c>
      <c r="M133" s="6"/>
      <c r="S133" s="5">
        <f>IF($J133=1,D133,"")</f>
        <v>31967</v>
      </c>
      <c r="T133" s="5">
        <f>IF($J333=0, D333,"")</f>
        <v>29244</v>
      </c>
      <c r="U133" s="5">
        <f>IF($J133=1,F133,"")</f>
        <v>4043</v>
      </c>
      <c r="V133" s="5">
        <f>IF($J333=0,F333,"")</f>
        <v>4850</v>
      </c>
      <c r="W133" s="5">
        <f>IF($J133=1,G133,"")</f>
        <v>71</v>
      </c>
      <c r="X133">
        <f>IF($J333=0,G333,"")</f>
        <v>18</v>
      </c>
      <c r="Y133">
        <f>IF($J133=1,H133,"")</f>
        <v>13.7</v>
      </c>
      <c r="Z133">
        <f>IF($J333=0,H333,"")</f>
        <v>9.6</v>
      </c>
    </row>
    <row r="134" spans="1:26" x14ac:dyDescent="0.3">
      <c r="A134">
        <v>195</v>
      </c>
      <c r="B134" t="s">
        <v>63</v>
      </c>
      <c r="C134">
        <v>7</v>
      </c>
      <c r="D134" s="5">
        <v>33202</v>
      </c>
      <c r="E134" t="s">
        <v>69</v>
      </c>
      <c r="F134" s="5">
        <v>4597</v>
      </c>
      <c r="G134">
        <v>82</v>
      </c>
      <c r="H134">
        <v>14.8</v>
      </c>
      <c r="I134">
        <v>0.74910030239978442</v>
      </c>
      <c r="J134">
        <v>1</v>
      </c>
      <c r="M134" s="6"/>
      <c r="S134" s="5">
        <f>IF($J134=1,D134,"")</f>
        <v>33202</v>
      </c>
      <c r="T134" s="5">
        <f>IF($J334=0, D334,"")</f>
        <v>45177</v>
      </c>
      <c r="U134" s="5">
        <f>IF($J134=1,F134,"")</f>
        <v>4597</v>
      </c>
      <c r="V134" s="5">
        <f>IF($J334=0,F334,"")</f>
        <v>4914</v>
      </c>
      <c r="W134" s="5">
        <f>IF($J134=1,G134,"")</f>
        <v>82</v>
      </c>
      <c r="X134">
        <f>IF($J334=0,G334,"")</f>
        <v>41</v>
      </c>
      <c r="Y134">
        <f>IF($J134=1,H134,"")</f>
        <v>14.8</v>
      </c>
      <c r="Z134">
        <f>IF($J334=0,H334,"")</f>
        <v>13.5</v>
      </c>
    </row>
    <row r="135" spans="1:26" x14ac:dyDescent="0.3">
      <c r="A135">
        <v>305</v>
      </c>
      <c r="B135" t="s">
        <v>62</v>
      </c>
      <c r="C135">
        <v>2</v>
      </c>
      <c r="D135" s="5">
        <v>26203</v>
      </c>
      <c r="E135" t="s">
        <v>68</v>
      </c>
      <c r="F135" s="5">
        <v>2542</v>
      </c>
      <c r="G135">
        <v>104</v>
      </c>
      <c r="H135">
        <v>14.5</v>
      </c>
      <c r="I135">
        <v>0.60604325480627774</v>
      </c>
      <c r="J135">
        <v>1</v>
      </c>
      <c r="M135" s="6"/>
      <c r="S135" s="5">
        <f>IF($J135=1,D135,"")</f>
        <v>26203</v>
      </c>
      <c r="T135" s="5">
        <f>IF($J335=0, D335,"")</f>
        <v>38279</v>
      </c>
      <c r="U135" s="5">
        <f>IF($J135=1,F135,"")</f>
        <v>2542</v>
      </c>
      <c r="V135" s="5">
        <f>IF($J335=0,F335,"")</f>
        <v>7066</v>
      </c>
      <c r="W135" s="5">
        <f>IF($J135=1,G135,"")</f>
        <v>104</v>
      </c>
      <c r="X135">
        <f>IF($J335=0,G335,"")</f>
        <v>15</v>
      </c>
      <c r="Y135">
        <f>IF($J135=1,H135,"")</f>
        <v>14.5</v>
      </c>
      <c r="Z135">
        <f>IF($J335=0,H335,"")</f>
        <v>3.5</v>
      </c>
    </row>
    <row r="136" spans="1:26" x14ac:dyDescent="0.3">
      <c r="A136">
        <v>296</v>
      </c>
      <c r="B136" t="s">
        <v>63</v>
      </c>
      <c r="C136">
        <v>2</v>
      </c>
      <c r="D136" s="5">
        <v>42962</v>
      </c>
      <c r="E136" t="s">
        <v>67</v>
      </c>
      <c r="F136" s="5">
        <v>3820</v>
      </c>
      <c r="G136">
        <v>116</v>
      </c>
      <c r="H136">
        <v>14</v>
      </c>
      <c r="I136">
        <v>0.13752894158375228</v>
      </c>
      <c r="J136">
        <v>1</v>
      </c>
      <c r="M136" s="6"/>
      <c r="S136" s="5">
        <f>IF($J136=1,D136,"")</f>
        <v>42962</v>
      </c>
      <c r="T136" s="5">
        <f>IF($J336=0, D336,"")</f>
        <v>35927</v>
      </c>
      <c r="U136" s="5">
        <f>IF($J136=1,F136,"")</f>
        <v>3820</v>
      </c>
      <c r="V136" s="5">
        <f>IF($J336=0,F336,"")</f>
        <v>4303</v>
      </c>
      <c r="W136" s="5">
        <f>IF($J136=1,G136,"")</f>
        <v>116</v>
      </c>
      <c r="X136">
        <f>IF($J336=0,G336,"")</f>
        <v>64</v>
      </c>
      <c r="Y136">
        <f>IF($J136=1,H136,"")</f>
        <v>14</v>
      </c>
      <c r="Z136">
        <f>IF($J336=0,H336,"")</f>
        <v>8.8000000000000007</v>
      </c>
    </row>
    <row r="137" spans="1:26" x14ac:dyDescent="0.3">
      <c r="A137">
        <v>207</v>
      </c>
      <c r="B137" t="s">
        <v>63</v>
      </c>
      <c r="C137">
        <v>7</v>
      </c>
      <c r="D137" s="5">
        <v>37225</v>
      </c>
      <c r="E137" t="s">
        <v>67</v>
      </c>
      <c r="F137" s="5">
        <v>4876</v>
      </c>
      <c r="G137">
        <v>17</v>
      </c>
      <c r="H137">
        <v>2.1</v>
      </c>
      <c r="I137">
        <v>0.58476759178540105</v>
      </c>
      <c r="J137">
        <v>1</v>
      </c>
      <c r="M137" s="6"/>
      <c r="S137" s="5">
        <f>IF($J137=1,D137,"")</f>
        <v>37225</v>
      </c>
      <c r="T137" s="5">
        <f>IF($J337=0, D337,"")</f>
        <v>36703</v>
      </c>
      <c r="U137" s="5">
        <f>IF($J137=1,F137,"")</f>
        <v>4876</v>
      </c>
      <c r="V137" s="5">
        <f>IF($J337=0,F337,"")</f>
        <v>4168</v>
      </c>
      <c r="W137" s="5">
        <f>IF($J137=1,G137,"")</f>
        <v>17</v>
      </c>
      <c r="X137">
        <f>IF($J337=0,G337,"")</f>
        <v>25</v>
      </c>
      <c r="Y137">
        <f>IF($J137=1,H137,"")</f>
        <v>2.1</v>
      </c>
      <c r="Z137">
        <f>IF($J337=0,H337,"")</f>
        <v>0.8</v>
      </c>
    </row>
    <row r="138" spans="1:26" x14ac:dyDescent="0.3">
      <c r="A138">
        <v>348</v>
      </c>
      <c r="B138" t="s">
        <v>65</v>
      </c>
      <c r="C138">
        <v>7</v>
      </c>
      <c r="D138" s="5">
        <v>24028</v>
      </c>
      <c r="E138" t="s">
        <v>67</v>
      </c>
      <c r="F138" s="5">
        <v>6065</v>
      </c>
      <c r="G138">
        <v>56</v>
      </c>
      <c r="H138">
        <v>7.3</v>
      </c>
      <c r="I138">
        <v>0.13945093938993047</v>
      </c>
      <c r="J138">
        <v>1</v>
      </c>
      <c r="M138" s="6"/>
      <c r="S138" s="5">
        <f>IF($J138=1,D138,"")</f>
        <v>24028</v>
      </c>
      <c r="T138" s="5">
        <f>IF($J338=0, D338,"")</f>
        <v>33600</v>
      </c>
      <c r="U138" s="5">
        <f>IF($J138=1,F138,"")</f>
        <v>6065</v>
      </c>
      <c r="V138" s="5">
        <f>IF($J338=0,F338,"")</f>
        <v>4408</v>
      </c>
      <c r="W138" s="5">
        <f>IF($J138=1,G138,"")</f>
        <v>56</v>
      </c>
      <c r="X138">
        <f>IF($J338=0,G338,"")</f>
        <v>94</v>
      </c>
      <c r="Y138">
        <f>IF($J138=1,H138,"")</f>
        <v>7.3</v>
      </c>
      <c r="Z138">
        <f>IF($J338=0,H338,"")</f>
        <v>8.3000000000000007</v>
      </c>
    </row>
    <row r="139" spans="1:26" x14ac:dyDescent="0.3">
      <c r="A139">
        <v>304</v>
      </c>
      <c r="B139" t="s">
        <v>63</v>
      </c>
      <c r="C139">
        <v>6</v>
      </c>
      <c r="D139" s="5">
        <v>23514</v>
      </c>
      <c r="E139" t="s">
        <v>68</v>
      </c>
      <c r="F139" s="5">
        <v>5709</v>
      </c>
      <c r="G139">
        <v>62</v>
      </c>
      <c r="H139">
        <v>14.3</v>
      </c>
      <c r="I139">
        <v>0.91955497885726367</v>
      </c>
      <c r="J139">
        <v>1</v>
      </c>
      <c r="M139" s="6"/>
      <c r="S139" s="5">
        <f>IF($J139=1,D139,"")</f>
        <v>23514</v>
      </c>
      <c r="T139" s="5">
        <f>IF($J339=0, D339,"")</f>
        <v>14671</v>
      </c>
      <c r="U139" s="5">
        <f>IF($J139=1,F139,"")</f>
        <v>5709</v>
      </c>
      <c r="V139" s="5">
        <f>IF($J339=0,F339,"")</f>
        <v>5148</v>
      </c>
      <c r="W139" s="5">
        <f>IF($J139=1,G139,"")</f>
        <v>62</v>
      </c>
      <c r="X139">
        <f>IF($J339=0,G339,"")</f>
        <v>28</v>
      </c>
      <c r="Y139">
        <f>IF($J139=1,H139,"")</f>
        <v>14.3</v>
      </c>
      <c r="Z139">
        <f>IF($J339=0,H339,"")</f>
        <v>8.1999999999999993</v>
      </c>
    </row>
    <row r="140" spans="1:26" x14ac:dyDescent="0.3">
      <c r="A140">
        <v>149</v>
      </c>
      <c r="B140" t="s">
        <v>62</v>
      </c>
      <c r="C140">
        <v>8</v>
      </c>
      <c r="D140" s="5">
        <v>26670</v>
      </c>
      <c r="E140" t="s">
        <v>69</v>
      </c>
      <c r="F140" s="5">
        <v>6225</v>
      </c>
      <c r="G140">
        <v>24</v>
      </c>
      <c r="H140">
        <v>12.2</v>
      </c>
      <c r="I140">
        <v>0.66621492682201489</v>
      </c>
      <c r="J140">
        <v>1</v>
      </c>
      <c r="M140" s="6"/>
      <c r="S140" s="5">
        <f>IF($J140=1,D140,"")</f>
        <v>26670</v>
      </c>
      <c r="T140" s="5">
        <f>IF($J340=0, D340,"")</f>
        <v>3715</v>
      </c>
      <c r="U140" s="5">
        <f>IF($J140=1,F140,"")</f>
        <v>6225</v>
      </c>
      <c r="V140" s="5">
        <f>IF($J340=0,F340,"")</f>
        <v>3635</v>
      </c>
      <c r="W140" s="5">
        <f>IF($J140=1,G140,"")</f>
        <v>24</v>
      </c>
      <c r="X140">
        <f>IF($J340=0,G340,"")</f>
        <v>64</v>
      </c>
      <c r="Y140">
        <f>IF($J140=1,H140,"")</f>
        <v>12.2</v>
      </c>
      <c r="Z140">
        <f>IF($J340=0,H340,"")</f>
        <v>11.9</v>
      </c>
    </row>
    <row r="141" spans="1:26" x14ac:dyDescent="0.3">
      <c r="A141">
        <v>193</v>
      </c>
      <c r="B141" t="s">
        <v>65</v>
      </c>
      <c r="C141">
        <v>3</v>
      </c>
      <c r="D141" s="5">
        <v>26296</v>
      </c>
      <c r="E141" t="s">
        <v>69</v>
      </c>
      <c r="F141" s="5">
        <v>3833</v>
      </c>
      <c r="G141">
        <v>43</v>
      </c>
      <c r="H141">
        <v>14.8</v>
      </c>
      <c r="I141">
        <v>0.63048831967330954</v>
      </c>
      <c r="J141">
        <v>1</v>
      </c>
      <c r="M141" s="6"/>
      <c r="S141" s="5">
        <f>IF($J141=1,D141,"")</f>
        <v>26296</v>
      </c>
      <c r="T141" s="5">
        <f>IF($J341=0, D341,"")</f>
        <v>23401</v>
      </c>
      <c r="U141" s="5">
        <f>IF($J141=1,F141,"")</f>
        <v>3833</v>
      </c>
      <c r="V141" s="5">
        <f>IF($J341=0,F341,"")</f>
        <v>5441</v>
      </c>
      <c r="W141" s="5">
        <f>IF($J141=1,G141,"")</f>
        <v>43</v>
      </c>
      <c r="X141">
        <f>IF($J341=0,G341,"")</f>
        <v>120</v>
      </c>
      <c r="Y141">
        <f>IF($J141=1,H141,"")</f>
        <v>14.8</v>
      </c>
      <c r="Z141">
        <f>IF($J341=0,H341,"")</f>
        <v>1</v>
      </c>
    </row>
    <row r="142" spans="1:26" x14ac:dyDescent="0.3">
      <c r="A142">
        <v>113</v>
      </c>
      <c r="B142" t="s">
        <v>65</v>
      </c>
      <c r="C142">
        <v>3</v>
      </c>
      <c r="D142" s="5">
        <v>21761</v>
      </c>
      <c r="E142" t="s">
        <v>67</v>
      </c>
      <c r="F142" s="5">
        <v>3481</v>
      </c>
      <c r="G142">
        <v>105</v>
      </c>
      <c r="H142">
        <v>9.1</v>
      </c>
      <c r="I142">
        <v>0.80905608263400786</v>
      </c>
      <c r="J142">
        <v>1</v>
      </c>
      <c r="M142" s="6"/>
      <c r="S142" s="5">
        <f>IF($J142=1,D142,"")</f>
        <v>21761</v>
      </c>
      <c r="T142" s="5">
        <f>IF($J342=0, D342,"")</f>
        <v>22074</v>
      </c>
      <c r="U142" s="5">
        <f>IF($J142=1,F142,"")</f>
        <v>3481</v>
      </c>
      <c r="V142" s="5">
        <f>IF($J342=0,F342,"")</f>
        <v>5760</v>
      </c>
      <c r="W142" s="5">
        <f>IF($J142=1,G142,"")</f>
        <v>105</v>
      </c>
      <c r="X142">
        <f>IF($J342=0,G342,"")</f>
        <v>74</v>
      </c>
      <c r="Y142">
        <f>IF($J142=1,H142,"")</f>
        <v>9.1</v>
      </c>
      <c r="Z142">
        <f>IF($J342=0,H342,"")</f>
        <v>0.9</v>
      </c>
    </row>
    <row r="143" spans="1:26" x14ac:dyDescent="0.3">
      <c r="A143">
        <v>263</v>
      </c>
      <c r="B143" t="s">
        <v>62</v>
      </c>
      <c r="C143">
        <v>2</v>
      </c>
      <c r="D143" s="5">
        <v>33632</v>
      </c>
      <c r="E143" t="s">
        <v>68</v>
      </c>
      <c r="F143" s="5">
        <v>4194</v>
      </c>
      <c r="G143">
        <v>110</v>
      </c>
      <c r="H143">
        <v>1.6</v>
      </c>
      <c r="I143">
        <v>0.79153992581651755</v>
      </c>
      <c r="J143">
        <v>1</v>
      </c>
      <c r="M143" s="6"/>
      <c r="S143" s="5">
        <f>IF($J143=1,D143,"")</f>
        <v>33632</v>
      </c>
      <c r="T143" s="5">
        <f>IF($J343=0, D343,"")</f>
        <v>29418</v>
      </c>
      <c r="U143" s="5">
        <f>IF($J143=1,F143,"")</f>
        <v>4194</v>
      </c>
      <c r="V143" s="5">
        <f>IF($J343=0,F343,"")</f>
        <v>5020</v>
      </c>
      <c r="W143" s="5">
        <f>IF($J143=1,G143,"")</f>
        <v>110</v>
      </c>
      <c r="X143">
        <f>IF($J343=0,G343,"")</f>
        <v>110</v>
      </c>
      <c r="Y143">
        <f>IF($J143=1,H143,"")</f>
        <v>1.6</v>
      </c>
      <c r="Z143">
        <f>IF($J343=0,H343,"")</f>
        <v>6.2</v>
      </c>
    </row>
    <row r="144" spans="1:26" x14ac:dyDescent="0.3">
      <c r="A144">
        <v>342</v>
      </c>
      <c r="B144" t="s">
        <v>65</v>
      </c>
      <c r="C144">
        <v>8</v>
      </c>
      <c r="D144" s="5">
        <v>23626</v>
      </c>
      <c r="E144" t="s">
        <v>67</v>
      </c>
      <c r="F144" s="5">
        <v>6077</v>
      </c>
      <c r="G144">
        <v>30</v>
      </c>
      <c r="H144">
        <v>12.5</v>
      </c>
      <c r="I144">
        <v>0.41555985916089866</v>
      </c>
      <c r="J144">
        <v>1</v>
      </c>
      <c r="M144" s="6"/>
      <c r="S144" s="5">
        <f>IF($J144=1,D144,"")</f>
        <v>23626</v>
      </c>
      <c r="T144" s="5">
        <f>IF($J344=0, D344,"")</f>
        <v>17342</v>
      </c>
      <c r="U144" s="5">
        <f>IF($J144=1,F144,"")</f>
        <v>6077</v>
      </c>
      <c r="V144" s="5">
        <f>IF($J344=0,F344,"")</f>
        <v>4842</v>
      </c>
      <c r="W144" s="5">
        <f>IF($J144=1,G144,"")</f>
        <v>30</v>
      </c>
      <c r="X144">
        <f>IF($J344=0,G344,"")</f>
        <v>98</v>
      </c>
      <c r="Y144">
        <f>IF($J144=1,H144,"")</f>
        <v>12.5</v>
      </c>
      <c r="Z144">
        <f>IF($J344=0,H344,"")</f>
        <v>1.5</v>
      </c>
    </row>
    <row r="145" spans="1:26" x14ac:dyDescent="0.3">
      <c r="A145">
        <v>366</v>
      </c>
      <c r="B145" t="s">
        <v>65</v>
      </c>
      <c r="C145">
        <v>2</v>
      </c>
      <c r="D145" s="5">
        <v>33204</v>
      </c>
      <c r="E145" t="s">
        <v>68</v>
      </c>
      <c r="F145" s="5">
        <v>2950</v>
      </c>
      <c r="G145">
        <v>102</v>
      </c>
      <c r="H145">
        <v>1.5</v>
      </c>
      <c r="I145">
        <v>0.71158003928082791</v>
      </c>
      <c r="J145">
        <v>1</v>
      </c>
      <c r="M145" s="6"/>
      <c r="S145" s="5">
        <f>IF($J145=1,D145,"")</f>
        <v>33204</v>
      </c>
      <c r="T145" s="5">
        <f>IF($J345=0, D345,"")</f>
        <v>23752</v>
      </c>
      <c r="U145" s="5">
        <f>IF($J145=1,F145,"")</f>
        <v>2950</v>
      </c>
      <c r="V145" s="5">
        <f>IF($J345=0,F345,"")</f>
        <v>5249</v>
      </c>
      <c r="W145" s="5">
        <f>IF($J145=1,G145,"")</f>
        <v>102</v>
      </c>
      <c r="X145">
        <f>IF($J345=0,G345,"")</f>
        <v>93</v>
      </c>
      <c r="Y145">
        <f>IF($J145=1,H145,"")</f>
        <v>1.5</v>
      </c>
      <c r="Z145">
        <f>IF($J345=0,H345,"")</f>
        <v>10.6</v>
      </c>
    </row>
    <row r="146" spans="1:26" x14ac:dyDescent="0.3">
      <c r="A146">
        <v>393</v>
      </c>
      <c r="B146" t="s">
        <v>65</v>
      </c>
      <c r="C146">
        <v>8</v>
      </c>
      <c r="D146" s="5">
        <v>34397</v>
      </c>
      <c r="E146" t="s">
        <v>68</v>
      </c>
      <c r="F146" s="5">
        <v>6109</v>
      </c>
      <c r="G146">
        <v>103</v>
      </c>
      <c r="H146">
        <v>7.2</v>
      </c>
      <c r="I146">
        <v>0.72292171108821968</v>
      </c>
      <c r="J146">
        <v>1</v>
      </c>
      <c r="M146" s="6"/>
      <c r="S146" s="5">
        <f>IF($J146=1,D146,"")</f>
        <v>34397</v>
      </c>
      <c r="T146" s="5">
        <f>IF($J346=0, D346,"")</f>
        <v>23333</v>
      </c>
      <c r="U146" s="5">
        <f>IF($J146=1,F146,"")</f>
        <v>6109</v>
      </c>
      <c r="V146" s="5">
        <f>IF($J346=0,F346,"")</f>
        <v>4930</v>
      </c>
      <c r="W146" s="5">
        <f>IF($J146=1,G146,"")</f>
        <v>103</v>
      </c>
      <c r="X146">
        <f>IF($J346=0,G346,"")</f>
        <v>100</v>
      </c>
      <c r="Y146">
        <f>IF($J146=1,H146,"")</f>
        <v>7.2</v>
      </c>
      <c r="Z146">
        <f>IF($J346=0,H346,"")</f>
        <v>7.9</v>
      </c>
    </row>
    <row r="147" spans="1:26" x14ac:dyDescent="0.3">
      <c r="A147">
        <v>373</v>
      </c>
      <c r="B147" t="s">
        <v>62</v>
      </c>
      <c r="C147">
        <v>2</v>
      </c>
      <c r="D147" s="5">
        <v>25871</v>
      </c>
      <c r="E147" t="s">
        <v>68</v>
      </c>
      <c r="F147" s="5">
        <v>3165</v>
      </c>
      <c r="G147">
        <v>115</v>
      </c>
      <c r="H147">
        <v>5.7</v>
      </c>
      <c r="I147">
        <v>0.12981913563682923</v>
      </c>
      <c r="J147">
        <v>1</v>
      </c>
      <c r="M147" s="6"/>
      <c r="S147" s="5">
        <f>IF($J147=1,D147,"")</f>
        <v>25871</v>
      </c>
      <c r="T147" s="5">
        <f>IF($J347=0, D347,"")</f>
        <v>13803</v>
      </c>
      <c r="U147" s="5">
        <f>IF($J147=1,F147,"")</f>
        <v>3165</v>
      </c>
      <c r="V147" s="5">
        <f>IF($J347=0,F347,"")</f>
        <v>5220</v>
      </c>
      <c r="W147" s="5">
        <f>IF($J147=1,G147,"")</f>
        <v>115</v>
      </c>
      <c r="X147">
        <f>IF($J347=0,G347,"")</f>
        <v>55</v>
      </c>
      <c r="Y147">
        <f>IF($J147=1,H147,"")</f>
        <v>5.7</v>
      </c>
      <c r="Z147">
        <f>IF($J347=0,H347,"")</f>
        <v>12.9</v>
      </c>
    </row>
    <row r="148" spans="1:26" x14ac:dyDescent="0.3">
      <c r="A148">
        <v>353</v>
      </c>
      <c r="B148" t="s">
        <v>64</v>
      </c>
      <c r="C148">
        <v>2</v>
      </c>
      <c r="D148" s="5">
        <v>28317</v>
      </c>
      <c r="E148" t="s">
        <v>68</v>
      </c>
      <c r="F148" s="5">
        <v>3375</v>
      </c>
      <c r="G148">
        <v>30</v>
      </c>
      <c r="H148">
        <v>9.1999999999999993</v>
      </c>
      <c r="I148">
        <v>0.26234464823323267</v>
      </c>
      <c r="J148">
        <v>1</v>
      </c>
      <c r="M148" s="6"/>
      <c r="S148" s="5">
        <f>IF($J148=1,D148,"")</f>
        <v>28317</v>
      </c>
      <c r="T148" s="5">
        <f>IF($J348=0, D348,"")</f>
        <v>31238</v>
      </c>
      <c r="U148" s="5">
        <f>IF($J148=1,F148,"")</f>
        <v>3375</v>
      </c>
      <c r="V148" s="5">
        <f>IF($J348=0,F348,"")</f>
        <v>6086</v>
      </c>
      <c r="W148" s="5">
        <f>IF($J148=1,G148,"")</f>
        <v>30</v>
      </c>
      <c r="X148">
        <f>IF($J348=0,G348,"")</f>
        <v>79</v>
      </c>
      <c r="Y148">
        <f>IF($J148=1,H148,"")</f>
        <v>9.1999999999999993</v>
      </c>
      <c r="Z148">
        <f>IF($J348=0,H348,"")</f>
        <v>2.4</v>
      </c>
    </row>
    <row r="149" spans="1:26" x14ac:dyDescent="0.3">
      <c r="A149">
        <v>378</v>
      </c>
      <c r="B149" t="s">
        <v>63</v>
      </c>
      <c r="C149">
        <v>8</v>
      </c>
      <c r="D149" s="5">
        <v>28258</v>
      </c>
      <c r="E149" t="s">
        <v>68</v>
      </c>
      <c r="F149" s="5">
        <v>6751</v>
      </c>
      <c r="G149">
        <v>77</v>
      </c>
      <c r="H149">
        <v>1.3</v>
      </c>
      <c r="I149">
        <v>0.82592128983310853</v>
      </c>
      <c r="J149">
        <v>1</v>
      </c>
      <c r="M149" s="6"/>
      <c r="S149" s="5">
        <f>IF($J149=1,D149,"")</f>
        <v>28258</v>
      </c>
      <c r="T149" s="5">
        <f>IF($J349=0, D349,"")</f>
        <v>37224</v>
      </c>
      <c r="U149" s="5">
        <f>IF($J149=1,F149,"")</f>
        <v>6751</v>
      </c>
      <c r="V149" s="5">
        <f>IF($J349=0,F349,"")</f>
        <v>3735</v>
      </c>
      <c r="W149" s="5">
        <f>IF($J149=1,G149,"")</f>
        <v>77</v>
      </c>
      <c r="X149">
        <f>IF($J349=0,G349,"")</f>
        <v>28</v>
      </c>
      <c r="Y149">
        <f>IF($J149=1,H149,"")</f>
        <v>1.3</v>
      </c>
      <c r="Z149">
        <f>IF($J349=0,H349,"")</f>
        <v>4.5999999999999996</v>
      </c>
    </row>
    <row r="150" spans="1:26" x14ac:dyDescent="0.3">
      <c r="A150">
        <v>59</v>
      </c>
      <c r="B150" t="s">
        <v>63</v>
      </c>
      <c r="C150">
        <v>7</v>
      </c>
      <c r="D150" s="5">
        <v>21039</v>
      </c>
      <c r="E150" t="s">
        <v>69</v>
      </c>
      <c r="F150" s="5">
        <v>4647</v>
      </c>
      <c r="G150">
        <v>44</v>
      </c>
      <c r="H150">
        <v>14.1</v>
      </c>
      <c r="I150">
        <v>3.7202268258120341E-2</v>
      </c>
      <c r="J150">
        <v>1</v>
      </c>
      <c r="M150" s="6"/>
      <c r="S150" s="5">
        <f>IF($J150=1,D150,"")</f>
        <v>21039</v>
      </c>
      <c r="T150" s="5">
        <f>IF($J350=0, D350,"")</f>
        <v>23441</v>
      </c>
      <c r="U150" s="5">
        <f>IF($J150=1,F150,"")</f>
        <v>4647</v>
      </c>
      <c r="V150" s="5">
        <f>IF($J350=0,F350,"")</f>
        <v>5305</v>
      </c>
      <c r="W150" s="5">
        <f>IF($J150=1,G150,"")</f>
        <v>44</v>
      </c>
      <c r="X150">
        <f>IF($J350=0,G350,"")</f>
        <v>95</v>
      </c>
      <c r="Y150">
        <f>IF($J150=1,H150,"")</f>
        <v>14.1</v>
      </c>
      <c r="Z150">
        <f>IF($J350=0,H350,"")</f>
        <v>1.9</v>
      </c>
    </row>
    <row r="151" spans="1:26" x14ac:dyDescent="0.3">
      <c r="A151">
        <v>104</v>
      </c>
      <c r="B151" t="s">
        <v>65</v>
      </c>
      <c r="C151">
        <v>7</v>
      </c>
      <c r="D151" s="5">
        <v>27447</v>
      </c>
      <c r="E151" t="s">
        <v>67</v>
      </c>
      <c r="F151" s="5">
        <v>6038</v>
      </c>
      <c r="G151">
        <v>92</v>
      </c>
      <c r="H151">
        <v>12.3</v>
      </c>
      <c r="I151">
        <v>0.21254294555416653</v>
      </c>
      <c r="J151">
        <v>1</v>
      </c>
      <c r="M151" s="6"/>
      <c r="S151" s="5">
        <f>IF($J151=1,D151,"")</f>
        <v>27447</v>
      </c>
      <c r="T151" s="5">
        <f>IF($J351=0, D351,"")</f>
        <v>19922</v>
      </c>
      <c r="U151" s="5">
        <f>IF($J151=1,F151,"")</f>
        <v>6038</v>
      </c>
      <c r="V151" s="5">
        <f>IF($J351=0,F351,"")</f>
        <v>4208</v>
      </c>
      <c r="W151" s="5">
        <f>IF($J151=1,G151,"")</f>
        <v>92</v>
      </c>
      <c r="X151">
        <f>IF($J351=0,G351,"")</f>
        <v>98</v>
      </c>
      <c r="Y151">
        <f>IF($J151=1,H151,"")</f>
        <v>12.3</v>
      </c>
      <c r="Z151">
        <f>IF($J351=0,H351,"")</f>
        <v>11.5</v>
      </c>
    </row>
    <row r="152" spans="1:26" x14ac:dyDescent="0.3">
      <c r="A152">
        <v>237</v>
      </c>
      <c r="B152" t="s">
        <v>65</v>
      </c>
      <c r="C152">
        <v>7</v>
      </c>
      <c r="D152" s="5">
        <v>42093</v>
      </c>
      <c r="E152" t="s">
        <v>68</v>
      </c>
      <c r="F152" s="5">
        <v>4351</v>
      </c>
      <c r="G152">
        <v>88</v>
      </c>
      <c r="H152">
        <v>5.4</v>
      </c>
      <c r="I152">
        <v>0.59588310284083701</v>
      </c>
      <c r="J152">
        <v>1</v>
      </c>
      <c r="M152" s="6"/>
      <c r="S152" s="5">
        <f>IF($J152=1,D152,"")</f>
        <v>42093</v>
      </c>
      <c r="T152" s="5">
        <f>IF($J352=0, D352,"")</f>
        <v>17220</v>
      </c>
      <c r="U152" s="5">
        <f>IF($J152=1,F152,"")</f>
        <v>4351</v>
      </c>
      <c r="V152" s="5">
        <f>IF($J352=0,F352,"")</f>
        <v>2893</v>
      </c>
      <c r="W152" s="5">
        <f>IF($J152=1,G152,"")</f>
        <v>88</v>
      </c>
      <c r="X152">
        <f>IF($J352=0,G352,"")</f>
        <v>103</v>
      </c>
      <c r="Y152">
        <f>IF($J152=1,H152,"")</f>
        <v>5.4</v>
      </c>
      <c r="Z152">
        <f>IF($J352=0,H352,"")</f>
        <v>7.9</v>
      </c>
    </row>
    <row r="153" spans="1:26" x14ac:dyDescent="0.3">
      <c r="A153">
        <v>398</v>
      </c>
      <c r="B153" t="s">
        <v>64</v>
      </c>
      <c r="C153">
        <v>8</v>
      </c>
      <c r="D153" s="5">
        <v>17229</v>
      </c>
      <c r="E153" t="s">
        <v>68</v>
      </c>
      <c r="F153" s="5">
        <v>5729</v>
      </c>
      <c r="G153">
        <v>39</v>
      </c>
      <c r="H153">
        <v>11.7</v>
      </c>
      <c r="I153">
        <v>0.31843422761725293</v>
      </c>
      <c r="J153">
        <v>1</v>
      </c>
      <c r="M153" s="6"/>
      <c r="S153" s="5">
        <f>IF($J153=1,D153,"")</f>
        <v>17229</v>
      </c>
      <c r="T153" s="5">
        <f>IF($J353=0, D353,"")</f>
        <v>24705</v>
      </c>
      <c r="U153" s="5">
        <f>IF($J153=1,F153,"")</f>
        <v>5729</v>
      </c>
      <c r="V153" s="5">
        <f>IF($J353=0,F353,"")</f>
        <v>6624</v>
      </c>
      <c r="W153" s="5">
        <f>IF($J153=1,G153,"")</f>
        <v>39</v>
      </c>
      <c r="X153">
        <f>IF($J353=0,G353,"")</f>
        <v>33</v>
      </c>
      <c r="Y153">
        <f>IF($J153=1,H153,"")</f>
        <v>11.7</v>
      </c>
      <c r="Z153">
        <f>IF($J353=0,H353,"")</f>
        <v>3.4</v>
      </c>
    </row>
    <row r="154" spans="1:26" x14ac:dyDescent="0.3">
      <c r="A154">
        <v>127</v>
      </c>
      <c r="B154" t="s">
        <v>65</v>
      </c>
      <c r="C154">
        <v>6</v>
      </c>
      <c r="D154" s="5">
        <v>34028</v>
      </c>
      <c r="E154" t="s">
        <v>68</v>
      </c>
      <c r="F154" s="5">
        <v>4372</v>
      </c>
      <c r="G154">
        <v>66</v>
      </c>
      <c r="H154">
        <v>2.5</v>
      </c>
      <c r="I154">
        <v>0.73669654113356731</v>
      </c>
      <c r="J154">
        <v>1</v>
      </c>
      <c r="M154" s="6"/>
      <c r="S154" s="5">
        <f>IF($J154=1,D154,"")</f>
        <v>34028</v>
      </c>
      <c r="T154" s="5">
        <f>IF($J354=0, D354,"")</f>
        <v>16006</v>
      </c>
      <c r="U154" s="5">
        <f>IF($J154=1,F154,"")</f>
        <v>4372</v>
      </c>
      <c r="V154" s="5">
        <f>IF($J354=0,F354,"")</f>
        <v>5727</v>
      </c>
      <c r="W154" s="5">
        <f>IF($J154=1,G154,"")</f>
        <v>66</v>
      </c>
      <c r="X154">
        <f>IF($J354=0,G354,"")</f>
        <v>60</v>
      </c>
      <c r="Y154">
        <f>IF($J154=1,H154,"")</f>
        <v>2.5</v>
      </c>
      <c r="Z154">
        <f>IF($J354=0,H354,"")</f>
        <v>5.6</v>
      </c>
    </row>
    <row r="155" spans="1:26" x14ac:dyDescent="0.3">
      <c r="A155">
        <v>85</v>
      </c>
      <c r="B155" t="s">
        <v>65</v>
      </c>
      <c r="C155">
        <v>2</v>
      </c>
      <c r="D155" s="5">
        <v>28775</v>
      </c>
      <c r="E155" t="s">
        <v>66</v>
      </c>
      <c r="F155" s="5">
        <v>2680</v>
      </c>
      <c r="G155">
        <v>51</v>
      </c>
      <c r="H155">
        <v>2.2000000000000002</v>
      </c>
      <c r="I155">
        <v>0.78232631687778986</v>
      </c>
      <c r="J155">
        <v>1</v>
      </c>
      <c r="M155" s="6"/>
      <c r="S155" s="5">
        <f>IF($J155=1,D155,"")</f>
        <v>28775</v>
      </c>
      <c r="T155" s="5">
        <f>IF($J355=0, D355,"")</f>
        <v>19913</v>
      </c>
      <c r="U155" s="5">
        <f>IF($J155=1,F155,"")</f>
        <v>2680</v>
      </c>
      <c r="V155" s="5">
        <f>IF($J355=0,F355,"")</f>
        <v>4740</v>
      </c>
      <c r="W155" s="5">
        <f>IF($J155=1,G155,"")</f>
        <v>51</v>
      </c>
      <c r="X155">
        <f>IF($J355=0,G355,"")</f>
        <v>69</v>
      </c>
      <c r="Y155">
        <f>IF($J155=1,H155,"")</f>
        <v>2.2000000000000002</v>
      </c>
      <c r="Z155">
        <f>IF($J355=0,H355,"")</f>
        <v>4.8</v>
      </c>
    </row>
    <row r="156" spans="1:26" x14ac:dyDescent="0.3">
      <c r="A156">
        <v>351</v>
      </c>
      <c r="B156" t="s">
        <v>63</v>
      </c>
      <c r="C156">
        <v>5</v>
      </c>
      <c r="D156" s="5">
        <v>19370</v>
      </c>
      <c r="E156" t="s">
        <v>68</v>
      </c>
      <c r="F156" s="5">
        <v>5011</v>
      </c>
      <c r="G156">
        <v>60</v>
      </c>
      <c r="H156">
        <v>3.2</v>
      </c>
      <c r="I156">
        <v>0.94526520258519631</v>
      </c>
      <c r="J156">
        <v>1</v>
      </c>
      <c r="M156" s="6"/>
      <c r="S156" s="5">
        <f>IF($J156=1,D156,"")</f>
        <v>19370</v>
      </c>
      <c r="T156" s="5">
        <f>IF($J356=0, D356,"")</f>
        <v>31452</v>
      </c>
      <c r="U156" s="5">
        <f>IF($J156=1,F156,"")</f>
        <v>5011</v>
      </c>
      <c r="V156" s="5">
        <f>IF($J356=0,F356,"")</f>
        <v>5519</v>
      </c>
      <c r="W156" s="5">
        <f>IF($J156=1,G156,"")</f>
        <v>60</v>
      </c>
      <c r="X156">
        <f>IF($J356=0,G356,"")</f>
        <v>23</v>
      </c>
      <c r="Y156">
        <f>IF($J156=1,H156,"")</f>
        <v>3.2</v>
      </c>
      <c r="Z156">
        <f>IF($J356=0,H356,"")</f>
        <v>14.5</v>
      </c>
    </row>
    <row r="157" spans="1:26" x14ac:dyDescent="0.3">
      <c r="A157">
        <v>273</v>
      </c>
      <c r="B157" t="s">
        <v>63</v>
      </c>
      <c r="C157">
        <v>5</v>
      </c>
      <c r="D157" s="5">
        <v>13180</v>
      </c>
      <c r="E157" t="s">
        <v>68</v>
      </c>
      <c r="F157" s="5">
        <v>4574</v>
      </c>
      <c r="G157">
        <v>90</v>
      </c>
      <c r="H157">
        <v>9.1999999999999993</v>
      </c>
      <c r="I157">
        <v>0.37897219571096652</v>
      </c>
      <c r="J157">
        <v>1</v>
      </c>
      <c r="M157" s="6"/>
      <c r="S157" s="5">
        <f>IF($J157=1,D157,"")</f>
        <v>13180</v>
      </c>
      <c r="T157" s="5">
        <f>IF($J357=0, D357,"")</f>
        <v>34961</v>
      </c>
      <c r="U157" s="5">
        <f>IF($J157=1,F157,"")</f>
        <v>4574</v>
      </c>
      <c r="V157" s="5">
        <f>IF($J357=0,F357,"")</f>
        <v>3416</v>
      </c>
      <c r="W157" s="5">
        <f>IF($J157=1,G157,"")</f>
        <v>90</v>
      </c>
      <c r="X157">
        <f>IF($J357=0,G357,"")</f>
        <v>38</v>
      </c>
      <c r="Y157">
        <f>IF($J157=1,H157,"")</f>
        <v>9.1999999999999993</v>
      </c>
      <c r="Z157">
        <f>IF($J357=0,H357,"")</f>
        <v>6.9</v>
      </c>
    </row>
    <row r="158" spans="1:26" x14ac:dyDescent="0.3">
      <c r="A158">
        <v>250</v>
      </c>
      <c r="B158" t="s">
        <v>63</v>
      </c>
      <c r="C158">
        <v>7</v>
      </c>
      <c r="D158" s="5">
        <v>22573</v>
      </c>
      <c r="E158" t="s">
        <v>66</v>
      </c>
      <c r="F158" s="5">
        <v>5735</v>
      </c>
      <c r="G158">
        <v>109</v>
      </c>
      <c r="H158">
        <v>12.5</v>
      </c>
      <c r="I158">
        <v>0.24125691811753947</v>
      </c>
      <c r="J158">
        <v>1</v>
      </c>
      <c r="M158" s="6"/>
      <c r="S158" s="5">
        <f>IF($J158=1,D158,"")</f>
        <v>22573</v>
      </c>
      <c r="T158" s="5">
        <f>IF($J358=0, D358,"")</f>
        <v>34741</v>
      </c>
      <c r="U158" s="5">
        <f>IF($J158=1,F158,"")</f>
        <v>5735</v>
      </c>
      <c r="V158" s="5">
        <f>IF($J358=0,F358,"")</f>
        <v>5460</v>
      </c>
      <c r="W158" s="5">
        <f>IF($J158=1,G158,"")</f>
        <v>109</v>
      </c>
      <c r="X158">
        <f>IF($J358=0,G358,"")</f>
        <v>22</v>
      </c>
      <c r="Y158">
        <f>IF($J158=1,H158,"")</f>
        <v>12.5</v>
      </c>
      <c r="Z158">
        <f>IF($J358=0,H358,"")</f>
        <v>11.9</v>
      </c>
    </row>
    <row r="159" spans="1:26" x14ac:dyDescent="0.3">
      <c r="A159">
        <v>30</v>
      </c>
      <c r="B159" t="s">
        <v>64</v>
      </c>
      <c r="C159">
        <v>2</v>
      </c>
      <c r="D159" s="5">
        <v>17137</v>
      </c>
      <c r="E159" t="s">
        <v>68</v>
      </c>
      <c r="F159" s="5">
        <v>2591</v>
      </c>
      <c r="G159">
        <v>111</v>
      </c>
      <c r="H159">
        <v>8.3000000000000007</v>
      </c>
      <c r="I159">
        <v>0.35142480498402628</v>
      </c>
      <c r="J159">
        <v>1</v>
      </c>
      <c r="M159" s="6"/>
      <c r="S159" s="5">
        <f>IF($J159=1,D159,"")</f>
        <v>17137</v>
      </c>
      <c r="T159" s="5">
        <f>IF($J359=0, D359,"")</f>
        <v>25366</v>
      </c>
      <c r="U159" s="5">
        <f>IF($J159=1,F159,"")</f>
        <v>2591</v>
      </c>
      <c r="V159" s="5">
        <f>IF($J359=0,F359,"")</f>
        <v>4375</v>
      </c>
      <c r="W159" s="5">
        <f>IF($J159=1,G159,"")</f>
        <v>111</v>
      </c>
      <c r="X159">
        <f>IF($J359=0,G359,"")</f>
        <v>62</v>
      </c>
      <c r="Y159">
        <f>IF($J159=1,H159,"")</f>
        <v>8.3000000000000007</v>
      </c>
      <c r="Z159">
        <f>IF($J359=0,H359,"")</f>
        <v>7.6</v>
      </c>
    </row>
    <row r="160" spans="1:26" x14ac:dyDescent="0.3">
      <c r="A160">
        <v>28</v>
      </c>
      <c r="B160" t="s">
        <v>65</v>
      </c>
      <c r="C160">
        <v>5</v>
      </c>
      <c r="D160" s="5">
        <v>33471</v>
      </c>
      <c r="E160" t="s">
        <v>67</v>
      </c>
      <c r="F160" s="5">
        <v>3887</v>
      </c>
      <c r="G160">
        <v>50</v>
      </c>
      <c r="H160">
        <v>14.2</v>
      </c>
      <c r="I160">
        <v>0.2134373904974578</v>
      </c>
      <c r="J160">
        <v>1</v>
      </c>
      <c r="M160" s="6"/>
      <c r="S160" s="5">
        <f>IF($J160=1,D160,"")</f>
        <v>33471</v>
      </c>
      <c r="T160" s="5">
        <f>IF($J360=0, D360,"")</f>
        <v>24105</v>
      </c>
      <c r="U160" s="5">
        <f>IF($J160=1,F160,"")</f>
        <v>3887</v>
      </c>
      <c r="V160" s="5">
        <f>IF($J360=0,F360,"")</f>
        <v>5442</v>
      </c>
      <c r="W160" s="5">
        <f>IF($J160=1,G160,"")</f>
        <v>50</v>
      </c>
      <c r="X160">
        <f>IF($J360=0,G360,"")</f>
        <v>66</v>
      </c>
      <c r="Y160">
        <f>IF($J160=1,H160,"")</f>
        <v>14.2</v>
      </c>
      <c r="Z160">
        <f>IF($J360=0,H360,"")</f>
        <v>11.1</v>
      </c>
    </row>
    <row r="161" spans="1:26" x14ac:dyDescent="0.3">
      <c r="A161">
        <v>218</v>
      </c>
      <c r="B161" t="s">
        <v>63</v>
      </c>
      <c r="C161">
        <v>2</v>
      </c>
      <c r="D161" s="5">
        <v>22684</v>
      </c>
      <c r="E161" t="s">
        <v>67</v>
      </c>
      <c r="F161" s="5">
        <v>4468</v>
      </c>
      <c r="G161">
        <v>15</v>
      </c>
      <c r="H161">
        <v>8.5</v>
      </c>
      <c r="I161">
        <v>0.36264147552719106</v>
      </c>
      <c r="J161">
        <v>1</v>
      </c>
      <c r="M161" s="6"/>
      <c r="S161" s="5">
        <f>IF($J161=1,D161,"")</f>
        <v>22684</v>
      </c>
      <c r="T161" s="5">
        <f>IF($J361=0, D361,"")</f>
        <v>24511</v>
      </c>
      <c r="U161" s="5">
        <f>IF($J161=1,F161,"")</f>
        <v>4468</v>
      </c>
      <c r="V161" s="5">
        <f>IF($J361=0,F361,"")</f>
        <v>4511</v>
      </c>
      <c r="W161" s="5">
        <f>IF($J161=1,G161,"")</f>
        <v>15</v>
      </c>
      <c r="X161">
        <f>IF($J361=0,G361,"")</f>
        <v>37</v>
      </c>
      <c r="Y161">
        <f>IF($J161=1,H161,"")</f>
        <v>8.5</v>
      </c>
      <c r="Z161">
        <f>IF($J361=0,H361,"")</f>
        <v>8.3000000000000007</v>
      </c>
    </row>
    <row r="162" spans="1:26" x14ac:dyDescent="0.3">
      <c r="A162">
        <v>170</v>
      </c>
      <c r="B162" t="s">
        <v>62</v>
      </c>
      <c r="C162">
        <v>4</v>
      </c>
      <c r="D162" s="5">
        <v>21549</v>
      </c>
      <c r="E162" t="s">
        <v>67</v>
      </c>
      <c r="F162" s="5">
        <v>5248</v>
      </c>
      <c r="G162">
        <v>74</v>
      </c>
      <c r="H162">
        <v>14</v>
      </c>
      <c r="I162">
        <v>0.4510494110177905</v>
      </c>
      <c r="J162">
        <v>1</v>
      </c>
      <c r="M162" s="6"/>
      <c r="S162" s="5">
        <f>IF($J162=1,D162,"")</f>
        <v>21549</v>
      </c>
      <c r="T162" s="5">
        <f>IF($J362=0, D362,"")</f>
        <v>41733</v>
      </c>
      <c r="U162" s="5">
        <f>IF($J162=1,F162,"")</f>
        <v>5248</v>
      </c>
      <c r="V162" s="5">
        <f>IF($J362=0,F362,"")</f>
        <v>5789</v>
      </c>
      <c r="W162" s="5">
        <f>IF($J162=1,G162,"")</f>
        <v>74</v>
      </c>
      <c r="X162">
        <f>IF($J362=0,G362,"")</f>
        <v>60</v>
      </c>
      <c r="Y162">
        <f>IF($J162=1,H162,"")</f>
        <v>14</v>
      </c>
      <c r="Z162">
        <f>IF($J362=0,H362,"")</f>
        <v>7.4</v>
      </c>
    </row>
    <row r="163" spans="1:26" x14ac:dyDescent="0.3">
      <c r="A163">
        <v>147</v>
      </c>
      <c r="B163" t="s">
        <v>63</v>
      </c>
      <c r="C163">
        <v>4</v>
      </c>
      <c r="D163" s="5">
        <v>25180</v>
      </c>
      <c r="E163" t="s">
        <v>66</v>
      </c>
      <c r="F163" s="5">
        <v>3374</v>
      </c>
      <c r="G163">
        <v>99</v>
      </c>
      <c r="H163">
        <v>3.4</v>
      </c>
      <c r="I163">
        <v>0.65040130739719582</v>
      </c>
      <c r="J163">
        <v>1</v>
      </c>
      <c r="M163" s="6"/>
      <c r="S163" s="5">
        <f>IF($J163=1,D163,"")</f>
        <v>25180</v>
      </c>
      <c r="T163" s="5">
        <f>IF($J363=0, D363,"")</f>
        <v>24973</v>
      </c>
      <c r="U163" s="5">
        <f>IF($J163=1,F163,"")</f>
        <v>3374</v>
      </c>
      <c r="V163" s="5">
        <f>IF($J363=0,F363,"")</f>
        <v>6839</v>
      </c>
      <c r="W163" s="5">
        <f>IF($J163=1,G163,"")</f>
        <v>99</v>
      </c>
      <c r="X163">
        <f>IF($J363=0,G363,"")</f>
        <v>104</v>
      </c>
      <c r="Y163">
        <f>IF($J163=1,H163,"")</f>
        <v>3.4</v>
      </c>
      <c r="Z163">
        <f>IF($J363=0,H363,"")</f>
        <v>5.0999999999999996</v>
      </c>
    </row>
    <row r="164" spans="1:26" x14ac:dyDescent="0.3">
      <c r="A164">
        <v>292</v>
      </c>
      <c r="B164" t="s">
        <v>64</v>
      </c>
      <c r="C164">
        <v>4</v>
      </c>
      <c r="D164" s="5">
        <v>28826</v>
      </c>
      <c r="E164" t="s">
        <v>67</v>
      </c>
      <c r="F164" s="5">
        <v>4379</v>
      </c>
      <c r="G164">
        <v>84</v>
      </c>
      <c r="H164">
        <v>5.6</v>
      </c>
      <c r="I164">
        <v>0.32180788904864033</v>
      </c>
      <c r="J164">
        <v>1</v>
      </c>
      <c r="M164" s="6"/>
      <c r="S164" s="5">
        <f>IF($J164=1,D164,"")</f>
        <v>28826</v>
      </c>
      <c r="T164" s="5">
        <f>IF($J364=0, D364,"")</f>
        <v>31597</v>
      </c>
      <c r="U164" s="5">
        <f>IF($J164=1,F164,"")</f>
        <v>4379</v>
      </c>
      <c r="V164" s="5">
        <f>IF($J364=0,F364,"")</f>
        <v>3708</v>
      </c>
      <c r="W164" s="5">
        <f>IF($J164=1,G164,"")</f>
        <v>84</v>
      </c>
      <c r="X164">
        <f>IF($J364=0,G364,"")</f>
        <v>59</v>
      </c>
      <c r="Y164">
        <f>IF($J164=1,H164,"")</f>
        <v>5.6</v>
      </c>
      <c r="Z164">
        <f>IF($J364=0,H364,"")</f>
        <v>6.9</v>
      </c>
    </row>
    <row r="165" spans="1:26" x14ac:dyDescent="0.3">
      <c r="A165">
        <v>152</v>
      </c>
      <c r="B165" t="s">
        <v>63</v>
      </c>
      <c r="C165">
        <v>4</v>
      </c>
      <c r="D165" s="5">
        <v>29943</v>
      </c>
      <c r="E165" t="s">
        <v>68</v>
      </c>
      <c r="F165" s="5">
        <v>4452</v>
      </c>
      <c r="G165">
        <v>104</v>
      </c>
      <c r="H165">
        <v>6.4</v>
      </c>
      <c r="I165">
        <v>0.55378777789357436</v>
      </c>
      <c r="J165">
        <v>1</v>
      </c>
      <c r="M165" s="6"/>
      <c r="S165" s="5">
        <f>IF($J165=1,D165,"")</f>
        <v>29943</v>
      </c>
      <c r="T165" s="5">
        <f>IF($J365=0, D365,"")</f>
        <v>25429</v>
      </c>
      <c r="U165" s="5">
        <f>IF($J165=1,F165,"")</f>
        <v>4452</v>
      </c>
      <c r="V165" s="5">
        <f>IF($J365=0,F365,"")</f>
        <v>4545</v>
      </c>
      <c r="W165" s="5">
        <f>IF($J165=1,G165,"")</f>
        <v>104</v>
      </c>
      <c r="X165">
        <f>IF($J365=0,G365,"")</f>
        <v>94</v>
      </c>
      <c r="Y165">
        <f>IF($J165=1,H165,"")</f>
        <v>6.4</v>
      </c>
      <c r="Z165">
        <f>IF($J365=0,H365,"")</f>
        <v>1.4</v>
      </c>
    </row>
    <row r="166" spans="1:26" x14ac:dyDescent="0.3">
      <c r="A166">
        <v>77</v>
      </c>
      <c r="B166" t="s">
        <v>64</v>
      </c>
      <c r="C166">
        <v>2</v>
      </c>
      <c r="D166" s="5">
        <v>28950</v>
      </c>
      <c r="E166" t="s">
        <v>66</v>
      </c>
      <c r="F166" s="5">
        <v>2659</v>
      </c>
      <c r="G166">
        <v>30</v>
      </c>
      <c r="H166">
        <v>5.7</v>
      </c>
      <c r="I166">
        <v>0.57245256973024949</v>
      </c>
      <c r="J166">
        <v>1</v>
      </c>
      <c r="M166" s="6"/>
      <c r="S166" s="5">
        <f>IF($J166=1,D166,"")</f>
        <v>28950</v>
      </c>
      <c r="T166" s="5">
        <f>IF($J366=0, D366,"")</f>
        <v>36595</v>
      </c>
      <c r="U166" s="5">
        <f>IF($J166=1,F166,"")</f>
        <v>2659</v>
      </c>
      <c r="V166" s="5">
        <f>IF($J366=0,F366,"")</f>
        <v>3420</v>
      </c>
      <c r="W166" s="5">
        <f>IF($J166=1,G166,"")</f>
        <v>30</v>
      </c>
      <c r="X166">
        <f>IF($J366=0,G366,"")</f>
        <v>43</v>
      </c>
      <c r="Y166">
        <f>IF($J166=1,H166,"")</f>
        <v>5.7</v>
      </c>
      <c r="Z166">
        <f>IF($J366=0,H366,"")</f>
        <v>9.1999999999999993</v>
      </c>
    </row>
    <row r="167" spans="1:26" x14ac:dyDescent="0.3">
      <c r="A167">
        <v>169</v>
      </c>
      <c r="B167" t="s">
        <v>62</v>
      </c>
      <c r="C167">
        <v>6</v>
      </c>
      <c r="D167" s="5">
        <v>28091</v>
      </c>
      <c r="E167" t="s">
        <v>68</v>
      </c>
      <c r="F167" s="5">
        <v>5345</v>
      </c>
      <c r="G167">
        <v>57</v>
      </c>
      <c r="H167">
        <v>10.3</v>
      </c>
      <c r="I167">
        <v>6.9104820760567787E-2</v>
      </c>
      <c r="J167">
        <v>1</v>
      </c>
      <c r="M167" s="6"/>
      <c r="S167" s="5">
        <f>IF($J167=1,D167,"")</f>
        <v>28091</v>
      </c>
      <c r="T167" s="5">
        <f>IF($J367=0, D367,"")</f>
        <v>21640</v>
      </c>
      <c r="U167" s="5">
        <f>IF($J167=1,F167,"")</f>
        <v>5345</v>
      </c>
      <c r="V167" s="5">
        <f>IF($J367=0,F367,"")</f>
        <v>4974</v>
      </c>
      <c r="W167" s="5">
        <f>IF($J167=1,G167,"")</f>
        <v>57</v>
      </c>
      <c r="X167">
        <f>IF($J367=0,G367,"")</f>
        <v>36</v>
      </c>
      <c r="Y167">
        <f>IF($J167=1,H167,"")</f>
        <v>10.3</v>
      </c>
      <c r="Z167">
        <f>IF($J367=0,H367,"")</f>
        <v>8</v>
      </c>
    </row>
    <row r="168" spans="1:26" x14ac:dyDescent="0.3">
      <c r="A168">
        <v>360</v>
      </c>
      <c r="B168" t="s">
        <v>65</v>
      </c>
      <c r="C168">
        <v>4</v>
      </c>
      <c r="D168" s="5">
        <v>29407</v>
      </c>
      <c r="E168" t="s">
        <v>69</v>
      </c>
      <c r="F168" s="5">
        <v>4690</v>
      </c>
      <c r="G168">
        <v>108</v>
      </c>
      <c r="H168">
        <v>3.1</v>
      </c>
      <c r="I168">
        <v>0.46382818458517761</v>
      </c>
      <c r="J168">
        <v>1</v>
      </c>
      <c r="M168" s="6"/>
      <c r="S168" s="5">
        <f>IF($J168=1,D168,"")</f>
        <v>29407</v>
      </c>
      <c r="T168" s="5">
        <f>IF($J368=0, D368,"")</f>
        <v>29454</v>
      </c>
      <c r="U168" s="5">
        <f>IF($J168=1,F168,"")</f>
        <v>4690</v>
      </c>
      <c r="V168" s="5">
        <f>IF($J368=0,F368,"")</f>
        <v>2817</v>
      </c>
      <c r="W168" s="5">
        <f>IF($J168=1,G168,"")</f>
        <v>108</v>
      </c>
      <c r="X168">
        <f>IF($J368=0,G368,"")</f>
        <v>58</v>
      </c>
      <c r="Y168">
        <f>IF($J168=1,H168,"")</f>
        <v>3.1</v>
      </c>
      <c r="Z168">
        <f>IF($J368=0,H368,"")</f>
        <v>1.3</v>
      </c>
    </row>
    <row r="169" spans="1:26" x14ac:dyDescent="0.3">
      <c r="A169">
        <v>101</v>
      </c>
      <c r="B169" t="s">
        <v>64</v>
      </c>
      <c r="C169">
        <v>5</v>
      </c>
      <c r="D169" s="5">
        <v>30592</v>
      </c>
      <c r="E169" t="s">
        <v>66</v>
      </c>
      <c r="F169" s="5">
        <v>5967</v>
      </c>
      <c r="G169">
        <v>33</v>
      </c>
      <c r="H169">
        <v>14.5</v>
      </c>
      <c r="I169">
        <v>0.12336622055843649</v>
      </c>
      <c r="J169">
        <v>1</v>
      </c>
      <c r="M169" s="6"/>
      <c r="S169" s="5">
        <f>IF($J169=1,D169,"")</f>
        <v>30592</v>
      </c>
      <c r="T169" s="5">
        <f>IF($J369=0, D369,"")</f>
        <v>30302</v>
      </c>
      <c r="U169" s="5">
        <f>IF($J169=1,F169,"")</f>
        <v>5967</v>
      </c>
      <c r="V169" s="5">
        <f>IF($J369=0,F369,"")</f>
        <v>4738</v>
      </c>
      <c r="W169" s="5">
        <f>IF($J169=1,G169,"")</f>
        <v>33</v>
      </c>
      <c r="X169">
        <f>IF($J369=0,G369,"")</f>
        <v>58</v>
      </c>
      <c r="Y169">
        <f>IF($J169=1,H169,"")</f>
        <v>14.5</v>
      </c>
      <c r="Z169">
        <f>IF($J369=0,H369,"")</f>
        <v>10.9</v>
      </c>
    </row>
    <row r="170" spans="1:26" x14ac:dyDescent="0.3">
      <c r="A170">
        <v>339</v>
      </c>
      <c r="B170" t="s">
        <v>62</v>
      </c>
      <c r="C170">
        <v>2</v>
      </c>
      <c r="D170" s="5">
        <v>22281</v>
      </c>
      <c r="E170" t="s">
        <v>67</v>
      </c>
      <c r="F170" s="5">
        <v>2711</v>
      </c>
      <c r="G170">
        <v>54</v>
      </c>
      <c r="H170">
        <v>6.3</v>
      </c>
      <c r="I170">
        <v>2.1390614211731496E-2</v>
      </c>
      <c r="J170">
        <v>1</v>
      </c>
      <c r="M170" s="6"/>
      <c r="S170" s="5">
        <f>IF($J170=1,D170,"")</f>
        <v>22281</v>
      </c>
      <c r="T170" s="5">
        <f>IF($J370=0, D370,"")</f>
        <v>24231</v>
      </c>
      <c r="U170" s="5">
        <f>IF($J170=1,F170,"")</f>
        <v>2711</v>
      </c>
      <c r="V170" s="5">
        <f>IF($J370=0,F370,"")</f>
        <v>5108</v>
      </c>
      <c r="W170" s="5">
        <f>IF($J170=1,G170,"")</f>
        <v>54</v>
      </c>
      <c r="X170">
        <f>IF($J370=0,G370,"")</f>
        <v>114</v>
      </c>
      <c r="Y170">
        <f>IF($J170=1,H170,"")</f>
        <v>6.3</v>
      </c>
      <c r="Z170">
        <f>IF($J370=0,H370,"")</f>
        <v>10.5</v>
      </c>
    </row>
    <row r="171" spans="1:26" x14ac:dyDescent="0.3">
      <c r="A171">
        <v>168</v>
      </c>
      <c r="B171" t="s">
        <v>62</v>
      </c>
      <c r="C171">
        <v>6</v>
      </c>
      <c r="D171" s="5">
        <v>29150</v>
      </c>
      <c r="E171" t="s">
        <v>67</v>
      </c>
      <c r="F171" s="5">
        <v>5898</v>
      </c>
      <c r="G171">
        <v>72</v>
      </c>
      <c r="H171">
        <v>2.7</v>
      </c>
      <c r="I171">
        <v>0.45117374293747992</v>
      </c>
      <c r="J171">
        <v>1</v>
      </c>
      <c r="M171" s="6"/>
      <c r="S171" s="5">
        <f>IF($J171=1,D171,"")</f>
        <v>29150</v>
      </c>
      <c r="T171" s="5">
        <f>IF($J371=0, D371,"")</f>
        <v>24666</v>
      </c>
      <c r="U171" s="5">
        <f>IF($J171=1,F171,"")</f>
        <v>5898</v>
      </c>
      <c r="V171" s="5">
        <f>IF($J371=0,F371,"")</f>
        <v>4742</v>
      </c>
      <c r="W171" s="5">
        <f>IF($J171=1,G171,"")</f>
        <v>72</v>
      </c>
      <c r="X171">
        <f>IF($J371=0,G371,"")</f>
        <v>108</v>
      </c>
      <c r="Y171">
        <f>IF($J171=1,H171,"")</f>
        <v>2.7</v>
      </c>
      <c r="Z171">
        <f>IF($J371=0,H371,"")</f>
        <v>7.3</v>
      </c>
    </row>
    <row r="172" spans="1:26" x14ac:dyDescent="0.3">
      <c r="A172">
        <v>116</v>
      </c>
      <c r="B172" t="s">
        <v>65</v>
      </c>
      <c r="C172">
        <v>5</v>
      </c>
      <c r="D172" s="5">
        <v>37047</v>
      </c>
      <c r="E172" t="s">
        <v>69</v>
      </c>
      <c r="F172" s="5">
        <v>5819</v>
      </c>
      <c r="G172">
        <v>33</v>
      </c>
      <c r="H172">
        <v>4</v>
      </c>
      <c r="I172">
        <v>0.1983222162917484</v>
      </c>
      <c r="J172">
        <v>1</v>
      </c>
      <c r="M172" s="6"/>
      <c r="S172" s="5">
        <f>IF($J172=1,D172,"")</f>
        <v>37047</v>
      </c>
      <c r="T172" s="5">
        <f>IF($J372=0, D372,"")</f>
        <v>31857</v>
      </c>
      <c r="U172" s="5">
        <f>IF($J172=1,F172,"")</f>
        <v>5819</v>
      </c>
      <c r="V172" s="5">
        <f>IF($J372=0,F372,"")</f>
        <v>7038</v>
      </c>
      <c r="W172" s="5">
        <f>IF($J172=1,G172,"")</f>
        <v>33</v>
      </c>
      <c r="X172">
        <f>IF($J372=0,G372,"")</f>
        <v>108</v>
      </c>
      <c r="Y172">
        <f>IF($J172=1,H172,"")</f>
        <v>4</v>
      </c>
      <c r="Z172">
        <f>IF($J372=0,H372,"")</f>
        <v>1.7</v>
      </c>
    </row>
    <row r="173" spans="1:26" x14ac:dyDescent="0.3">
      <c r="A173">
        <v>212</v>
      </c>
      <c r="B173" t="s">
        <v>65</v>
      </c>
      <c r="C173">
        <v>2</v>
      </c>
      <c r="D173" s="5">
        <v>7513</v>
      </c>
      <c r="E173" t="s">
        <v>68</v>
      </c>
      <c r="F173" s="5">
        <v>4546</v>
      </c>
      <c r="G173">
        <v>39</v>
      </c>
      <c r="H173">
        <v>7.8</v>
      </c>
      <c r="I173">
        <v>0.73876402092503723</v>
      </c>
      <c r="J173">
        <v>1</v>
      </c>
      <c r="M173" s="6"/>
      <c r="S173" s="5">
        <f>IF($J173=1,D173,"")</f>
        <v>7513</v>
      </c>
      <c r="T173" s="5">
        <f>IF($J373=0, D373,"")</f>
        <v>32702</v>
      </c>
      <c r="U173" s="5">
        <f>IF($J173=1,F173,"")</f>
        <v>4546</v>
      </c>
      <c r="V173" s="5">
        <f>IF($J373=0,F373,"")</f>
        <v>4108</v>
      </c>
      <c r="W173" s="5">
        <f>IF($J173=1,G173,"")</f>
        <v>39</v>
      </c>
      <c r="X173">
        <f>IF($J373=0,G373,"")</f>
        <v>20</v>
      </c>
      <c r="Y173">
        <f>IF($J173=1,H173,"")</f>
        <v>7.8</v>
      </c>
      <c r="Z173">
        <f>IF($J373=0,H373,"")</f>
        <v>2.6</v>
      </c>
    </row>
    <row r="174" spans="1:26" x14ac:dyDescent="0.3">
      <c r="A174">
        <v>189</v>
      </c>
      <c r="B174" t="s">
        <v>64</v>
      </c>
      <c r="C174">
        <v>3</v>
      </c>
      <c r="D174" s="5">
        <v>32653</v>
      </c>
      <c r="E174" t="s">
        <v>69</v>
      </c>
      <c r="F174" s="5">
        <v>4152</v>
      </c>
      <c r="G174">
        <v>60</v>
      </c>
      <c r="H174">
        <v>3</v>
      </c>
      <c r="I174">
        <v>2.3522518411320137E-2</v>
      </c>
      <c r="J174">
        <v>1</v>
      </c>
      <c r="M174" s="6"/>
      <c r="S174" s="5">
        <f>IF($J174=1,D174,"")</f>
        <v>32653</v>
      </c>
      <c r="T174" s="5">
        <f>IF($J374=0, D374,"")</f>
        <v>30671</v>
      </c>
      <c r="U174" s="5">
        <f>IF($J174=1,F174,"")</f>
        <v>4152</v>
      </c>
      <c r="V174" s="5">
        <f>IF($J374=0,F374,"")</f>
        <v>5756</v>
      </c>
      <c r="W174" s="5">
        <f>IF($J174=1,G174,"")</f>
        <v>60</v>
      </c>
      <c r="X174">
        <f>IF($J374=0,G374,"")</f>
        <v>32</v>
      </c>
      <c r="Y174">
        <f>IF($J174=1,H174,"")</f>
        <v>3</v>
      </c>
      <c r="Z174">
        <f>IF($J374=0,H374,"")</f>
        <v>10.9</v>
      </c>
    </row>
    <row r="175" spans="1:26" x14ac:dyDescent="0.3">
      <c r="A175">
        <v>109</v>
      </c>
      <c r="B175" t="s">
        <v>63</v>
      </c>
      <c r="C175">
        <v>8</v>
      </c>
      <c r="D175" s="5">
        <v>32373</v>
      </c>
      <c r="E175" t="s">
        <v>68</v>
      </c>
      <c r="F175" s="5">
        <v>4859</v>
      </c>
      <c r="G175">
        <v>89</v>
      </c>
      <c r="H175">
        <v>11.6</v>
      </c>
      <c r="I175">
        <v>0.28455994653336358</v>
      </c>
      <c r="J175">
        <v>1</v>
      </c>
      <c r="M175" s="6"/>
      <c r="S175" s="5">
        <f>IF($J175=1,D175,"")</f>
        <v>32373</v>
      </c>
      <c r="T175" s="5">
        <f>IF($J375=0, D375,"")</f>
        <v>34453</v>
      </c>
      <c r="U175" s="5">
        <f>IF($J175=1,F175,"")</f>
        <v>4859</v>
      </c>
      <c r="V175" s="5">
        <f>IF($J375=0,F375,"")</f>
        <v>3453</v>
      </c>
      <c r="W175" s="5">
        <f>IF($J175=1,G175,"")</f>
        <v>89</v>
      </c>
      <c r="X175">
        <f>IF($J375=0,G375,"")</f>
        <v>47</v>
      </c>
      <c r="Y175">
        <f>IF($J175=1,H175,"")</f>
        <v>11.6</v>
      </c>
      <c r="Z175">
        <f>IF($J375=0,H375,"")</f>
        <v>6.7</v>
      </c>
    </row>
    <row r="176" spans="1:26" x14ac:dyDescent="0.3">
      <c r="A176">
        <v>67</v>
      </c>
      <c r="B176" t="s">
        <v>62</v>
      </c>
      <c r="C176">
        <v>6</v>
      </c>
      <c r="D176" s="5">
        <v>35529</v>
      </c>
      <c r="E176" t="s">
        <v>66</v>
      </c>
      <c r="F176" s="5">
        <v>4067</v>
      </c>
      <c r="G176">
        <v>60</v>
      </c>
      <c r="H176">
        <v>14.4</v>
      </c>
      <c r="I176">
        <v>0.1539759168492244</v>
      </c>
      <c r="J176">
        <v>1</v>
      </c>
      <c r="M176" s="6"/>
      <c r="S176" s="5">
        <f>IF($J176=1,D176,"")</f>
        <v>35529</v>
      </c>
      <c r="T176" s="5">
        <f>IF($J376=0, D376,"")</f>
        <v>27599</v>
      </c>
      <c r="U176" s="5">
        <f>IF($J176=1,F176,"")</f>
        <v>4067</v>
      </c>
      <c r="V176" s="5">
        <f>IF($J376=0,F376,"")</f>
        <v>5991</v>
      </c>
      <c r="W176" s="5">
        <f>IF($J176=1,G176,"")</f>
        <v>60</v>
      </c>
      <c r="X176">
        <f>IF($J376=0,G376,"")</f>
        <v>94</v>
      </c>
      <c r="Y176">
        <f>IF($J176=1,H176,"")</f>
        <v>14.4</v>
      </c>
      <c r="Z176">
        <f>IF($J376=0,H376,"")</f>
        <v>8.5</v>
      </c>
    </row>
    <row r="177" spans="1:26" x14ac:dyDescent="0.3">
      <c r="A177">
        <v>84</v>
      </c>
      <c r="B177" t="s">
        <v>64</v>
      </c>
      <c r="C177">
        <v>2</v>
      </c>
      <c r="D177" s="5">
        <v>36146</v>
      </c>
      <c r="E177" t="s">
        <v>69</v>
      </c>
      <c r="F177" s="5">
        <v>4488</v>
      </c>
      <c r="G177">
        <v>40</v>
      </c>
      <c r="H177">
        <v>8.5</v>
      </c>
      <c r="I177">
        <v>0.90325511019336224</v>
      </c>
      <c r="J177">
        <v>1</v>
      </c>
      <c r="M177" s="6"/>
      <c r="S177" s="5">
        <f>IF($J177=1,D177,"")</f>
        <v>36146</v>
      </c>
      <c r="T177" s="5">
        <f>IF($J377=0, D377,"")</f>
        <v>33488</v>
      </c>
      <c r="U177" s="5">
        <f>IF($J177=1,F177,"")</f>
        <v>4488</v>
      </c>
      <c r="V177" s="5">
        <f>IF($J377=0,F377,"")</f>
        <v>4038</v>
      </c>
      <c r="W177" s="5">
        <f>IF($J177=1,G177,"")</f>
        <v>40</v>
      </c>
      <c r="X177">
        <f>IF($J377=0,G377,"")</f>
        <v>95</v>
      </c>
      <c r="Y177">
        <f>IF($J177=1,H177,"")</f>
        <v>8.5</v>
      </c>
      <c r="Z177">
        <f>IF($J377=0,H377,"")</f>
        <v>11.8</v>
      </c>
    </row>
    <row r="178" spans="1:26" x14ac:dyDescent="0.3">
      <c r="A178">
        <v>363</v>
      </c>
      <c r="B178" t="s">
        <v>65</v>
      </c>
      <c r="C178">
        <v>2</v>
      </c>
      <c r="D178" s="5">
        <v>22508</v>
      </c>
      <c r="E178" t="s">
        <v>67</v>
      </c>
      <c r="F178" s="5">
        <v>4636</v>
      </c>
      <c r="G178">
        <v>21</v>
      </c>
      <c r="H178">
        <v>9.8000000000000007</v>
      </c>
      <c r="I178">
        <v>0.51973313647215569</v>
      </c>
      <c r="J178">
        <v>1</v>
      </c>
      <c r="M178" s="6"/>
      <c r="S178" s="5">
        <f>IF($J178=1,D178,"")</f>
        <v>22508</v>
      </c>
      <c r="T178" s="5">
        <f>IF($J378=0, D378,"")</f>
        <v>25608</v>
      </c>
      <c r="U178" s="5">
        <f>IF($J178=1,F178,"")</f>
        <v>4636</v>
      </c>
      <c r="V178" s="5">
        <f>IF($J378=0,F378,"")</f>
        <v>6201</v>
      </c>
      <c r="W178" s="5">
        <f>IF($J178=1,G178,"")</f>
        <v>21</v>
      </c>
      <c r="X178">
        <f>IF($J378=0,G378,"")</f>
        <v>83</v>
      </c>
      <c r="Y178">
        <f>IF($J178=1,H178,"")</f>
        <v>9.8000000000000007</v>
      </c>
      <c r="Z178">
        <f>IF($J378=0,H378,"")</f>
        <v>13.5</v>
      </c>
    </row>
    <row r="179" spans="1:26" x14ac:dyDescent="0.3">
      <c r="A179">
        <v>239</v>
      </c>
      <c r="B179" t="s">
        <v>63</v>
      </c>
      <c r="C179">
        <v>6</v>
      </c>
      <c r="D179" s="5">
        <v>24885</v>
      </c>
      <c r="E179" t="s">
        <v>67</v>
      </c>
      <c r="F179" s="5">
        <v>4045</v>
      </c>
      <c r="G179">
        <v>59</v>
      </c>
      <c r="H179">
        <v>5.2</v>
      </c>
      <c r="I179">
        <v>0.58107946663683596</v>
      </c>
      <c r="J179">
        <v>1</v>
      </c>
      <c r="M179" s="6"/>
      <c r="S179" s="5">
        <f>IF($J179=1,D179,"")</f>
        <v>24885</v>
      </c>
      <c r="T179" s="5">
        <f>IF($J379=0, D379,"")</f>
        <v>25277</v>
      </c>
      <c r="U179" s="5">
        <f>IF($J179=1,F179,"")</f>
        <v>4045</v>
      </c>
      <c r="V179" s="5">
        <f>IF($J379=0,F379,"")</f>
        <v>2984</v>
      </c>
      <c r="W179" s="5">
        <f>IF($J179=1,G179,"")</f>
        <v>59</v>
      </c>
      <c r="X179">
        <f>IF($J379=0,G379,"")</f>
        <v>81</v>
      </c>
      <c r="Y179">
        <f>IF($J179=1,H179,"")</f>
        <v>5.2</v>
      </c>
      <c r="Z179">
        <f>IF($J379=0,H379,"")</f>
        <v>10.8</v>
      </c>
    </row>
    <row r="180" spans="1:26" x14ac:dyDescent="0.3">
      <c r="A180">
        <v>309</v>
      </c>
      <c r="B180" t="s">
        <v>65</v>
      </c>
      <c r="C180">
        <v>8</v>
      </c>
      <c r="D180" s="5">
        <v>20530</v>
      </c>
      <c r="E180" t="s">
        <v>69</v>
      </c>
      <c r="F180" s="5">
        <v>6131</v>
      </c>
      <c r="G180">
        <v>41</v>
      </c>
      <c r="H180">
        <v>1.5</v>
      </c>
      <c r="I180">
        <v>0.31188597218011549</v>
      </c>
      <c r="J180">
        <v>1</v>
      </c>
      <c r="M180" s="6"/>
      <c r="S180" s="5">
        <f>IF($J180=1,D180,"")</f>
        <v>20530</v>
      </c>
      <c r="T180" s="5">
        <f>IF($J380=0, D380,"")</f>
        <v>35834</v>
      </c>
      <c r="U180" s="5">
        <f>IF($J180=1,F180,"")</f>
        <v>6131</v>
      </c>
      <c r="V180" s="5">
        <f>IF($J380=0,F380,"")</f>
        <v>3587</v>
      </c>
      <c r="W180" s="5">
        <f>IF($J180=1,G180,"")</f>
        <v>41</v>
      </c>
      <c r="X180">
        <f>IF($J380=0,G380,"")</f>
        <v>20</v>
      </c>
      <c r="Y180">
        <f>IF($J180=1,H180,"")</f>
        <v>1.5</v>
      </c>
      <c r="Z180">
        <f>IF($J380=0,H380,"")</f>
        <v>13.9</v>
      </c>
    </row>
    <row r="181" spans="1:26" x14ac:dyDescent="0.3">
      <c r="A181">
        <v>140</v>
      </c>
      <c r="B181" t="s">
        <v>64</v>
      </c>
      <c r="C181">
        <v>5</v>
      </c>
      <c r="D181" s="5">
        <v>22032</v>
      </c>
      <c r="E181" t="s">
        <v>66</v>
      </c>
      <c r="F181" s="5">
        <v>3794</v>
      </c>
      <c r="G181">
        <v>112</v>
      </c>
      <c r="H181">
        <v>12.1</v>
      </c>
      <c r="I181">
        <v>0.31263550975805177</v>
      </c>
      <c r="J181">
        <v>1</v>
      </c>
      <c r="M181" s="6"/>
      <c r="S181" s="5">
        <f>IF($J181=1,D181,"")</f>
        <v>22032</v>
      </c>
      <c r="T181" s="5">
        <f>IF($J381=0, D381,"")</f>
        <v>24981</v>
      </c>
      <c r="U181" s="5">
        <f>IF($J181=1,F181,"")</f>
        <v>3794</v>
      </c>
      <c r="V181" s="5">
        <f>IF($J381=0,F381,"")</f>
        <v>4934</v>
      </c>
      <c r="W181" s="5">
        <f>IF($J181=1,G181,"")</f>
        <v>112</v>
      </c>
      <c r="X181">
        <f>IF($J381=0,G381,"")</f>
        <v>59</v>
      </c>
      <c r="Y181">
        <f>IF($J181=1,H181,"")</f>
        <v>12.1</v>
      </c>
      <c r="Z181">
        <f>IF($J381=0,H381,"")</f>
        <v>0.6</v>
      </c>
    </row>
    <row r="182" spans="1:26" x14ac:dyDescent="0.3">
      <c r="A182">
        <v>244</v>
      </c>
      <c r="B182" t="s">
        <v>62</v>
      </c>
      <c r="C182">
        <v>7</v>
      </c>
      <c r="D182" s="5">
        <v>25057</v>
      </c>
      <c r="E182" t="s">
        <v>68</v>
      </c>
      <c r="F182" s="5">
        <v>5421</v>
      </c>
      <c r="G182">
        <v>94</v>
      </c>
      <c r="H182">
        <v>8.5</v>
      </c>
      <c r="I182">
        <v>0.10801550200561838</v>
      </c>
      <c r="J182">
        <v>1</v>
      </c>
      <c r="M182" s="6"/>
      <c r="S182" s="5">
        <f>IF($J182=1,D182,"")</f>
        <v>25057</v>
      </c>
      <c r="T182" s="5">
        <f>IF($J382=0, D382,"")</f>
        <v>14836</v>
      </c>
      <c r="U182" s="5">
        <f>IF($J182=1,F182,"")</f>
        <v>5421</v>
      </c>
      <c r="V182" s="5">
        <f>IF($J382=0,F382,"")</f>
        <v>4744</v>
      </c>
      <c r="W182" s="5">
        <f>IF($J182=1,G182,"")</f>
        <v>94</v>
      </c>
      <c r="X182">
        <f>IF($J382=0,G382,"")</f>
        <v>88</v>
      </c>
      <c r="Y182">
        <f>IF($J182=1,H182,"")</f>
        <v>8.5</v>
      </c>
      <c r="Z182">
        <f>IF($J382=0,H382,"")</f>
        <v>8</v>
      </c>
    </row>
    <row r="183" spans="1:26" x14ac:dyDescent="0.3">
      <c r="A183">
        <v>63</v>
      </c>
      <c r="B183" t="s">
        <v>62</v>
      </c>
      <c r="C183">
        <v>2</v>
      </c>
      <c r="D183" s="5">
        <v>41830</v>
      </c>
      <c r="E183" t="s">
        <v>69</v>
      </c>
      <c r="F183" s="5">
        <v>3305</v>
      </c>
      <c r="G183">
        <v>114</v>
      </c>
      <c r="H183">
        <v>4.2</v>
      </c>
      <c r="I183">
        <v>0.38907980559631483</v>
      </c>
      <c r="J183">
        <v>1</v>
      </c>
      <c r="M183" s="6"/>
      <c r="S183" s="5">
        <f>IF($J183=1,D183,"")</f>
        <v>41830</v>
      </c>
      <c r="T183" s="5">
        <f>IF($J383=0, D383,"")</f>
        <v>27866</v>
      </c>
      <c r="U183" s="5">
        <f>IF($J183=1,F183,"")</f>
        <v>3305</v>
      </c>
      <c r="V183" s="5">
        <f>IF($J383=0,F383,"")</f>
        <v>4292</v>
      </c>
      <c r="W183" s="5">
        <f>IF($J183=1,G183,"")</f>
        <v>114</v>
      </c>
      <c r="X183">
        <f>IF($J383=0,G383,"")</f>
        <v>111</v>
      </c>
      <c r="Y183">
        <f>IF($J183=1,H183,"")</f>
        <v>4.2</v>
      </c>
      <c r="Z183">
        <f>IF($J383=0,H383,"")</f>
        <v>6.3</v>
      </c>
    </row>
    <row r="184" spans="1:26" x14ac:dyDescent="0.3">
      <c r="A184">
        <v>400</v>
      </c>
      <c r="B184" t="s">
        <v>65</v>
      </c>
      <c r="C184">
        <v>5</v>
      </c>
      <c r="D184" s="5">
        <v>29688</v>
      </c>
      <c r="E184" t="s">
        <v>68</v>
      </c>
      <c r="F184" s="5">
        <v>4665</v>
      </c>
      <c r="G184">
        <v>96</v>
      </c>
      <c r="H184">
        <v>8.6</v>
      </c>
      <c r="I184">
        <v>0.70492363451379247</v>
      </c>
      <c r="J184">
        <v>1</v>
      </c>
      <c r="M184" s="6"/>
      <c r="S184" s="5">
        <f>IF($J184=1,D184,"")</f>
        <v>29688</v>
      </c>
      <c r="T184" s="5">
        <f>IF($J384=0, D384,"")</f>
        <v>27063</v>
      </c>
      <c r="U184" s="5">
        <f>IF($J184=1,F184,"")</f>
        <v>4665</v>
      </c>
      <c r="V184" s="5">
        <f>IF($J384=0,F384,"")</f>
        <v>5991</v>
      </c>
      <c r="W184" s="5">
        <f>IF($J184=1,G184,"")</f>
        <v>96</v>
      </c>
      <c r="X184">
        <f>IF($J384=0,G384,"")</f>
        <v>62</v>
      </c>
      <c r="Y184">
        <f>IF($J184=1,H184,"")</f>
        <v>8.6</v>
      </c>
      <c r="Z184">
        <f>IF($J384=0,H384,"")</f>
        <v>7</v>
      </c>
    </row>
    <row r="185" spans="1:26" x14ac:dyDescent="0.3">
      <c r="A185">
        <v>89</v>
      </c>
      <c r="B185" t="s">
        <v>65</v>
      </c>
      <c r="C185">
        <v>4</v>
      </c>
      <c r="D185" s="5">
        <v>25496</v>
      </c>
      <c r="E185" t="s">
        <v>69</v>
      </c>
      <c r="F185" s="5">
        <v>3665</v>
      </c>
      <c r="G185">
        <v>47</v>
      </c>
      <c r="H185">
        <v>11.9</v>
      </c>
      <c r="I185">
        <v>0.453960429188765</v>
      </c>
      <c r="J185">
        <v>1</v>
      </c>
      <c r="M185" s="6"/>
      <c r="S185" s="5">
        <f>IF($J185=1,D185,"")</f>
        <v>25496</v>
      </c>
      <c r="T185" s="5">
        <f>IF($J385=0, D385,"")</f>
        <v>18455</v>
      </c>
      <c r="U185" s="5">
        <f>IF($J185=1,F185,"")</f>
        <v>3665</v>
      </c>
      <c r="V185" s="5">
        <f>IF($J385=0,F385,"")</f>
        <v>3817</v>
      </c>
      <c r="W185" s="5">
        <f>IF($J185=1,G185,"")</f>
        <v>47</v>
      </c>
      <c r="X185">
        <f>IF($J385=0,G385,"")</f>
        <v>75</v>
      </c>
      <c r="Y185">
        <f>IF($J185=1,H185,"")</f>
        <v>11.9</v>
      </c>
      <c r="Z185">
        <f>IF($J385=0,H385,"")</f>
        <v>14.2</v>
      </c>
    </row>
    <row r="186" spans="1:26" x14ac:dyDescent="0.3">
      <c r="A186">
        <v>215</v>
      </c>
      <c r="B186" t="s">
        <v>62</v>
      </c>
      <c r="C186">
        <v>8</v>
      </c>
      <c r="D186" s="5">
        <v>23892</v>
      </c>
      <c r="E186" t="s">
        <v>67</v>
      </c>
      <c r="F186" s="5">
        <v>5125</v>
      </c>
      <c r="G186">
        <v>106</v>
      </c>
      <c r="H186">
        <v>1.4</v>
      </c>
      <c r="I186">
        <v>0.31231588157972268</v>
      </c>
      <c r="J186">
        <v>1</v>
      </c>
      <c r="M186" s="6"/>
      <c r="S186" s="5">
        <f>IF($J186=1,D186,"")</f>
        <v>23892</v>
      </c>
      <c r="T186" s="5">
        <f>IF($J386=0, D386,"")</f>
        <v>28189</v>
      </c>
      <c r="U186" s="5">
        <f>IF($J186=1,F186,"")</f>
        <v>5125</v>
      </c>
      <c r="V186" s="5">
        <f>IF($J386=0,F386,"")</f>
        <v>3786</v>
      </c>
      <c r="W186" s="5">
        <f>IF($J186=1,G186,"")</f>
        <v>106</v>
      </c>
      <c r="X186">
        <f>IF($J386=0,G386,"")</f>
        <v>85</v>
      </c>
      <c r="Y186">
        <f>IF($J186=1,H186,"")</f>
        <v>1.4</v>
      </c>
      <c r="Z186">
        <f>IF($J386=0,H386,"")</f>
        <v>1.4</v>
      </c>
    </row>
    <row r="187" spans="1:26" x14ac:dyDescent="0.3">
      <c r="A187">
        <v>222</v>
      </c>
      <c r="B187" t="s">
        <v>64</v>
      </c>
      <c r="C187">
        <v>6</v>
      </c>
      <c r="D187" s="5">
        <v>30819</v>
      </c>
      <c r="E187" t="s">
        <v>68</v>
      </c>
      <c r="F187" s="5">
        <v>4357</v>
      </c>
      <c r="G187">
        <v>18</v>
      </c>
      <c r="H187">
        <v>10.6</v>
      </c>
      <c r="I187">
        <v>0.8676059560902224</v>
      </c>
      <c r="J187">
        <v>1</v>
      </c>
      <c r="M187" s="6"/>
      <c r="S187" s="5">
        <f>IF($J187=1,D187,"")</f>
        <v>30819</v>
      </c>
      <c r="T187" s="5">
        <f>IF($J387=0, D387,"")</f>
        <v>27797</v>
      </c>
      <c r="U187" s="5">
        <f>IF($J187=1,F187,"")</f>
        <v>4357</v>
      </c>
      <c r="V187" s="5">
        <f>IF($J387=0,F387,"")</f>
        <v>4984</v>
      </c>
      <c r="W187" s="5">
        <f>IF($J187=1,G187,"")</f>
        <v>18</v>
      </c>
      <c r="X187">
        <f>IF($J387=0,G387,"")</f>
        <v>112</v>
      </c>
      <c r="Y187">
        <f>IF($J187=1,H187,"")</f>
        <v>10.6</v>
      </c>
      <c r="Z187">
        <f>IF($J387=0,H387,"")</f>
        <v>0.7</v>
      </c>
    </row>
    <row r="188" spans="1:26" x14ac:dyDescent="0.3">
      <c r="A188">
        <v>119</v>
      </c>
      <c r="B188" t="s">
        <v>64</v>
      </c>
      <c r="C188">
        <v>6</v>
      </c>
      <c r="D188" s="5">
        <v>42133</v>
      </c>
      <c r="E188" t="s">
        <v>68</v>
      </c>
      <c r="F188" s="5">
        <v>4204</v>
      </c>
      <c r="G188">
        <v>65</v>
      </c>
      <c r="H188">
        <v>2.1</v>
      </c>
      <c r="I188">
        <v>0.2590718478317483</v>
      </c>
      <c r="J188">
        <v>1</v>
      </c>
      <c r="M188" s="6"/>
      <c r="S188" s="5">
        <f>IF($J188=1,D188,"")</f>
        <v>42133</v>
      </c>
      <c r="T188" s="5">
        <f>IF($J388=0, D388,"")</f>
        <v>14929</v>
      </c>
      <c r="U188" s="5">
        <f>IF($J188=1,F188,"")</f>
        <v>4204</v>
      </c>
      <c r="V188" s="5">
        <f>IF($J388=0,F388,"")</f>
        <v>2736</v>
      </c>
      <c r="W188" s="5">
        <f>IF($J188=1,G188,"")</f>
        <v>65</v>
      </c>
      <c r="X188">
        <f>IF($J388=0,G388,"")</f>
        <v>101</v>
      </c>
      <c r="Y188">
        <f>IF($J188=1,H188,"")</f>
        <v>2.1</v>
      </c>
      <c r="Z188">
        <f>IF($J388=0,H388,"")</f>
        <v>10.7</v>
      </c>
    </row>
    <row r="189" spans="1:26" x14ac:dyDescent="0.3">
      <c r="A189">
        <v>356</v>
      </c>
      <c r="B189" t="s">
        <v>64</v>
      </c>
      <c r="C189">
        <v>3</v>
      </c>
      <c r="D189" s="5">
        <v>35659</v>
      </c>
      <c r="E189" t="s">
        <v>68</v>
      </c>
      <c r="F189" s="5">
        <v>4079</v>
      </c>
      <c r="G189">
        <v>111</v>
      </c>
      <c r="H189">
        <v>10.8</v>
      </c>
      <c r="I189">
        <v>0.28742725586655171</v>
      </c>
      <c r="J189">
        <v>1</v>
      </c>
      <c r="M189" s="6"/>
      <c r="S189" s="5">
        <f>IF($J189=1,D189,"")</f>
        <v>35659</v>
      </c>
      <c r="T189" s="5">
        <f>IF($J389=0, D389,"")</f>
        <v>24055</v>
      </c>
      <c r="U189" s="5">
        <f>IF($J189=1,F189,"")</f>
        <v>4079</v>
      </c>
      <c r="V189" s="5">
        <f>IF($J389=0,F389,"")</f>
        <v>6184</v>
      </c>
      <c r="W189" s="5">
        <f>IF($J189=1,G189,"")</f>
        <v>111</v>
      </c>
      <c r="X189">
        <f>IF($J389=0,G389,"")</f>
        <v>71</v>
      </c>
      <c r="Y189">
        <f>IF($J189=1,H189,"")</f>
        <v>10.8</v>
      </c>
      <c r="Z189">
        <f>IF($J389=0,H389,"")</f>
        <v>11.9</v>
      </c>
    </row>
    <row r="190" spans="1:26" x14ac:dyDescent="0.3">
      <c r="A190">
        <v>231</v>
      </c>
      <c r="B190" t="s">
        <v>65</v>
      </c>
      <c r="C190">
        <v>5</v>
      </c>
      <c r="D190" s="5">
        <v>25912</v>
      </c>
      <c r="E190" t="s">
        <v>69</v>
      </c>
      <c r="F190" s="5">
        <v>4289</v>
      </c>
      <c r="G190">
        <v>114</v>
      </c>
      <c r="H190">
        <v>12.1</v>
      </c>
      <c r="I190">
        <v>5.1743714764743154E-2</v>
      </c>
      <c r="J190">
        <v>1</v>
      </c>
      <c r="M190" s="6"/>
      <c r="S190" s="5">
        <f>IF($J190=1,D190,"")</f>
        <v>25912</v>
      </c>
      <c r="T190" s="5">
        <f>IF($J390=0, D390,"")</f>
        <v>19708</v>
      </c>
      <c r="U190" s="5">
        <f>IF($J190=1,F190,"")</f>
        <v>4289</v>
      </c>
      <c r="V190" s="5">
        <f>IF($J390=0,F390,"")</f>
        <v>6234</v>
      </c>
      <c r="W190" s="5">
        <f>IF($J190=1,G190,"")</f>
        <v>114</v>
      </c>
      <c r="X190">
        <f>IF($J390=0,G390,"")</f>
        <v>75</v>
      </c>
      <c r="Y190">
        <f>IF($J190=1,H190,"")</f>
        <v>12.1</v>
      </c>
      <c r="Z190">
        <f>IF($J390=0,H390,"")</f>
        <v>4.7</v>
      </c>
    </row>
    <row r="191" spans="1:26" x14ac:dyDescent="0.3">
      <c r="A191">
        <v>141</v>
      </c>
      <c r="B191" t="s">
        <v>63</v>
      </c>
      <c r="C191">
        <v>3</v>
      </c>
      <c r="D191" s="5">
        <v>15225</v>
      </c>
      <c r="E191" t="s">
        <v>67</v>
      </c>
      <c r="F191" s="5">
        <v>4297</v>
      </c>
      <c r="G191">
        <v>100</v>
      </c>
      <c r="H191">
        <v>4.5</v>
      </c>
      <c r="I191">
        <v>0.92474702186689661</v>
      </c>
      <c r="J191">
        <v>1</v>
      </c>
      <c r="M191" s="6"/>
      <c r="S191" s="5">
        <f>IF($J191=1,D191,"")</f>
        <v>15225</v>
      </c>
      <c r="T191" s="5">
        <f>IF($J391=0, D391,"")</f>
        <v>19015</v>
      </c>
      <c r="U191" s="5">
        <f>IF($J191=1,F191,"")</f>
        <v>4297</v>
      </c>
      <c r="V191" s="5">
        <f>IF($J391=0,F391,"")</f>
        <v>6091</v>
      </c>
      <c r="W191" s="5">
        <f>IF($J191=1,G191,"")</f>
        <v>100</v>
      </c>
      <c r="X191">
        <f>IF($J391=0,G391,"")</f>
        <v>98</v>
      </c>
      <c r="Y191">
        <f>IF($J191=1,H191,"")</f>
        <v>4.5</v>
      </c>
      <c r="Z191">
        <f>IF($J391=0,H391,"")</f>
        <v>12.5</v>
      </c>
    </row>
    <row r="192" spans="1:26" x14ac:dyDescent="0.3">
      <c r="A192">
        <v>51</v>
      </c>
      <c r="B192" t="s">
        <v>63</v>
      </c>
      <c r="C192">
        <v>8</v>
      </c>
      <c r="D192" s="5">
        <v>24775</v>
      </c>
      <c r="E192" t="s">
        <v>67</v>
      </c>
      <c r="F192" s="5">
        <v>5023</v>
      </c>
      <c r="G192">
        <v>104</v>
      </c>
      <c r="H192">
        <v>12.1</v>
      </c>
      <c r="I192">
        <v>0.765622692252097</v>
      </c>
      <c r="J192">
        <v>1</v>
      </c>
      <c r="M192" s="6"/>
      <c r="S192" s="5">
        <f>IF($J192=1,D192,"")</f>
        <v>24775</v>
      </c>
      <c r="T192" s="5">
        <f>IF($J392=0, D392,"")</f>
        <v>15908</v>
      </c>
      <c r="U192" s="5">
        <f>IF($J192=1,F192,"")</f>
        <v>5023</v>
      </c>
      <c r="V192" s="5">
        <f>IF($J392=0,F392,"")</f>
        <v>5635</v>
      </c>
      <c r="W192" s="5">
        <f>IF($J192=1,G192,"")</f>
        <v>104</v>
      </c>
      <c r="X192">
        <f>IF($J392=0,G392,"")</f>
        <v>81</v>
      </c>
      <c r="Y192">
        <f>IF($J192=1,H192,"")</f>
        <v>12.1</v>
      </c>
      <c r="Z192">
        <f>IF($J392=0,H392,"")</f>
        <v>8.3000000000000007</v>
      </c>
    </row>
    <row r="193" spans="1:33" x14ac:dyDescent="0.3">
      <c r="A193">
        <v>41</v>
      </c>
      <c r="B193" t="s">
        <v>64</v>
      </c>
      <c r="C193">
        <v>4</v>
      </c>
      <c r="D193" s="5">
        <v>23620</v>
      </c>
      <c r="E193" t="s">
        <v>66</v>
      </c>
      <c r="F193" s="5">
        <v>4258</v>
      </c>
      <c r="G193">
        <v>58</v>
      </c>
      <c r="H193">
        <v>6.8</v>
      </c>
      <c r="I193">
        <v>0.78449342781508702</v>
      </c>
      <c r="J193">
        <v>1</v>
      </c>
      <c r="M193" s="6"/>
      <c r="S193" s="5">
        <f>IF($J193=1,D193,"")</f>
        <v>23620</v>
      </c>
      <c r="T193" s="5">
        <f>IF($J393=0, D393,"")</f>
        <v>27691</v>
      </c>
      <c r="U193" s="5">
        <f>IF($J193=1,F193,"")</f>
        <v>4258</v>
      </c>
      <c r="V193" s="5">
        <f>IF($J393=0,F393,"")</f>
        <v>4631</v>
      </c>
      <c r="W193" s="5">
        <f>IF($J193=1,G193,"")</f>
        <v>58</v>
      </c>
      <c r="X193">
        <f>IF($J393=0,G393,"")</f>
        <v>17</v>
      </c>
      <c r="Y193">
        <f>IF($J193=1,H193,"")</f>
        <v>6.8</v>
      </c>
      <c r="Z193">
        <f>IF($J393=0,H393,"")</f>
        <v>14.2</v>
      </c>
    </row>
    <row r="194" spans="1:33" x14ac:dyDescent="0.3">
      <c r="A194">
        <v>159</v>
      </c>
      <c r="B194" t="s">
        <v>62</v>
      </c>
      <c r="C194">
        <v>7</v>
      </c>
      <c r="D194" s="5">
        <v>27904</v>
      </c>
      <c r="E194" t="s">
        <v>68</v>
      </c>
      <c r="F194" s="5">
        <v>5894</v>
      </c>
      <c r="G194">
        <v>107</v>
      </c>
      <c r="H194">
        <v>14.8</v>
      </c>
      <c r="I194">
        <v>0.87094843028389191</v>
      </c>
      <c r="J194">
        <v>1</v>
      </c>
      <c r="M194" s="6"/>
      <c r="S194" s="5">
        <f>IF($J194=1,D194,"")</f>
        <v>27904</v>
      </c>
      <c r="T194" s="5">
        <f>IF($J394=0, D394,"")</f>
        <v>27753</v>
      </c>
      <c r="U194" s="5">
        <f>IF($J194=1,F194,"")</f>
        <v>5894</v>
      </c>
      <c r="V194" s="5">
        <f>IF($J394=0,F394,"")</f>
        <v>4110</v>
      </c>
      <c r="W194" s="5">
        <f>IF($J194=1,G194,"")</f>
        <v>107</v>
      </c>
      <c r="X194">
        <f>IF($J394=0,G394,"")</f>
        <v>93</v>
      </c>
      <c r="Y194">
        <f>IF($J194=1,H194,"")</f>
        <v>14.8</v>
      </c>
      <c r="Z194">
        <f>IF($J394=0,H394,"")</f>
        <v>12.6</v>
      </c>
    </row>
    <row r="195" spans="1:33" x14ac:dyDescent="0.3">
      <c r="A195">
        <v>161</v>
      </c>
      <c r="B195" t="s">
        <v>65</v>
      </c>
      <c r="C195">
        <v>2</v>
      </c>
      <c r="D195" s="5">
        <v>29072</v>
      </c>
      <c r="E195" t="s">
        <v>68</v>
      </c>
      <c r="F195" s="5">
        <v>3054</v>
      </c>
      <c r="G195">
        <v>16</v>
      </c>
      <c r="H195">
        <v>5.2</v>
      </c>
      <c r="I195">
        <v>0.34284189403163223</v>
      </c>
      <c r="J195">
        <v>1</v>
      </c>
      <c r="M195" s="6"/>
      <c r="S195" s="5">
        <f>IF($J195=1,D195,"")</f>
        <v>29072</v>
      </c>
      <c r="T195" s="5">
        <f>IF($J395=0, D395,"")</f>
        <v>22031</v>
      </c>
      <c r="U195" s="5">
        <f>IF($J195=1,F195,"")</f>
        <v>3054</v>
      </c>
      <c r="V195" s="5">
        <f>IF($J395=0,F395,"")</f>
        <v>5690</v>
      </c>
      <c r="W195" s="5">
        <f>IF($J195=1,G195,"")</f>
        <v>16</v>
      </c>
      <c r="X195">
        <f>IF($J395=0,G395,"")</f>
        <v>45</v>
      </c>
      <c r="Y195">
        <f>IF($J195=1,H195,"")</f>
        <v>5.2</v>
      </c>
      <c r="Z195">
        <f>IF($J395=0,H395,"")</f>
        <v>11.9</v>
      </c>
    </row>
    <row r="196" spans="1:33" x14ac:dyDescent="0.3">
      <c r="A196">
        <v>211</v>
      </c>
      <c r="B196" t="s">
        <v>63</v>
      </c>
      <c r="C196">
        <v>3</v>
      </c>
      <c r="D196" s="5">
        <v>34403</v>
      </c>
      <c r="E196" t="s">
        <v>66</v>
      </c>
      <c r="F196" s="5">
        <v>4064</v>
      </c>
      <c r="G196">
        <v>65</v>
      </c>
      <c r="H196">
        <v>3</v>
      </c>
      <c r="I196">
        <v>0.47478668704385307</v>
      </c>
      <c r="J196">
        <v>1</v>
      </c>
      <c r="M196" s="6"/>
      <c r="S196" s="5">
        <f>IF($J196=1,D196,"")</f>
        <v>34403</v>
      </c>
      <c r="T196" s="5">
        <f>IF($J396=0, D396,"")</f>
        <v>31551</v>
      </c>
      <c r="U196" s="5">
        <f>IF($J196=1,F196,"")</f>
        <v>4064</v>
      </c>
      <c r="V196" s="5">
        <f>IF($J396=0,F396,"")</f>
        <v>5255</v>
      </c>
      <c r="W196" s="5">
        <f>IF($J196=1,G196,"")</f>
        <v>65</v>
      </c>
      <c r="X196">
        <f>IF($J396=0,G396,"")</f>
        <v>33</v>
      </c>
      <c r="Y196">
        <f>IF($J196=1,H196,"")</f>
        <v>3</v>
      </c>
      <c r="Z196">
        <f>IF($J396=0,H396,"")</f>
        <v>14.6</v>
      </c>
    </row>
    <row r="197" spans="1:33" x14ac:dyDescent="0.3">
      <c r="A197">
        <v>372</v>
      </c>
      <c r="B197" t="s">
        <v>63</v>
      </c>
      <c r="C197">
        <v>5</v>
      </c>
      <c r="D197" s="5">
        <v>30371</v>
      </c>
      <c r="E197" t="s">
        <v>67</v>
      </c>
      <c r="F197" s="5">
        <v>4950</v>
      </c>
      <c r="G197">
        <v>67</v>
      </c>
      <c r="H197">
        <v>13.7</v>
      </c>
      <c r="I197">
        <v>0.10485859322721536</v>
      </c>
      <c r="J197">
        <v>1</v>
      </c>
      <c r="M197" s="6"/>
      <c r="S197" s="5">
        <f>IF($J197=1,D197,"")</f>
        <v>30371</v>
      </c>
      <c r="T197" s="5">
        <f>IF($J397=0, D397,"")</f>
        <v>45440</v>
      </c>
      <c r="U197" s="5">
        <f>IF($J197=1,F197,"")</f>
        <v>4950</v>
      </c>
      <c r="V197" s="5">
        <f>IF($J397=0,F397,"")</f>
        <v>5329</v>
      </c>
      <c r="W197" s="5">
        <f>IF($J197=1,G197,"")</f>
        <v>67</v>
      </c>
      <c r="X197">
        <f>IF($J397=0,G397,"")</f>
        <v>24</v>
      </c>
      <c r="Y197">
        <f>IF($J197=1,H197,"")</f>
        <v>13.7</v>
      </c>
      <c r="Z197">
        <f>IF($J397=0,H397,"")</f>
        <v>14.4</v>
      </c>
    </row>
    <row r="198" spans="1:33" x14ac:dyDescent="0.3">
      <c r="A198">
        <v>201</v>
      </c>
      <c r="B198" t="s">
        <v>64</v>
      </c>
      <c r="C198">
        <v>8</v>
      </c>
      <c r="D198" s="5">
        <v>29242</v>
      </c>
      <c r="E198" t="s">
        <v>66</v>
      </c>
      <c r="F198" s="5">
        <v>4730</v>
      </c>
      <c r="G198">
        <v>80</v>
      </c>
      <c r="H198">
        <v>9.1999999999999993</v>
      </c>
      <c r="I198">
        <v>0.58193412558113455</v>
      </c>
      <c r="J198">
        <v>1</v>
      </c>
      <c r="M198" s="6"/>
      <c r="S198" s="5">
        <f>IF($J198=1,D198,"")</f>
        <v>29242</v>
      </c>
      <c r="T198" s="5">
        <f>IF($J398=0, D398,"")</f>
        <v>22377</v>
      </c>
      <c r="U198" s="5">
        <f>IF($J198=1,F198,"")</f>
        <v>4730</v>
      </c>
      <c r="V198" s="5">
        <f>IF($J398=0,F398,"")</f>
        <v>6084</v>
      </c>
      <c r="W198" s="5">
        <f>IF($J198=1,G198,"")</f>
        <v>80</v>
      </c>
      <c r="X198">
        <f>IF($J398=0,G398,"")</f>
        <v>15</v>
      </c>
      <c r="Y198">
        <f>IF($J198=1,H198,"")</f>
        <v>9.1999999999999993</v>
      </c>
      <c r="Z198">
        <f>IF($J398=0,H398,"")</f>
        <v>0.6</v>
      </c>
    </row>
    <row r="199" spans="1:33" x14ac:dyDescent="0.3">
      <c r="A199">
        <v>82</v>
      </c>
      <c r="B199" t="s">
        <v>65</v>
      </c>
      <c r="C199">
        <v>6</v>
      </c>
      <c r="D199" s="5">
        <v>19534</v>
      </c>
      <c r="E199" t="s">
        <v>67</v>
      </c>
      <c r="F199" s="5">
        <v>6078</v>
      </c>
      <c r="G199">
        <v>62</v>
      </c>
      <c r="H199">
        <v>2.2999999999999998</v>
      </c>
      <c r="I199">
        <v>0.17112522946689757</v>
      </c>
      <c r="J199">
        <v>1</v>
      </c>
      <c r="M199" s="6"/>
      <c r="S199" s="5">
        <f>IF($J199=1,D199,"")</f>
        <v>19534</v>
      </c>
      <c r="T199" s="5">
        <f>IF($J399=0, D399,"")</f>
        <v>26716</v>
      </c>
      <c r="U199" s="5">
        <f>IF($J199=1,F199,"")</f>
        <v>6078</v>
      </c>
      <c r="V199" s="5">
        <f>IF($J399=0,F399,"")</f>
        <v>3504</v>
      </c>
      <c r="W199" s="5">
        <f>IF($J199=1,G199,"")</f>
        <v>62</v>
      </c>
      <c r="X199">
        <f>IF($J399=0,G399,"")</f>
        <v>98</v>
      </c>
      <c r="Y199">
        <f>IF($J199=1,H199,"")</f>
        <v>2.2999999999999998</v>
      </c>
      <c r="Z199">
        <f>IF($J399=0,H399,"")</f>
        <v>9.8000000000000007</v>
      </c>
    </row>
    <row r="200" spans="1:33" x14ac:dyDescent="0.3">
      <c r="A200">
        <v>205</v>
      </c>
      <c r="B200" t="s">
        <v>64</v>
      </c>
      <c r="C200">
        <v>7</v>
      </c>
      <c r="D200" s="5">
        <v>27338</v>
      </c>
      <c r="E200" t="s">
        <v>68</v>
      </c>
      <c r="F200" s="5">
        <v>4705</v>
      </c>
      <c r="G200">
        <v>101</v>
      </c>
      <c r="H200">
        <v>0.7</v>
      </c>
      <c r="I200">
        <v>0.95659937653537419</v>
      </c>
      <c r="J200">
        <v>1</v>
      </c>
      <c r="M200" s="6"/>
      <c r="S200" s="5">
        <f>IF($J200=1,D200,"")</f>
        <v>27338</v>
      </c>
      <c r="T200" s="5">
        <f>IF($J400=0, D400,"")</f>
        <v>17997</v>
      </c>
      <c r="U200" s="5">
        <f>IF($J200=1,F200,"")</f>
        <v>4705</v>
      </c>
      <c r="V200" s="5">
        <f>IF($J400=0,F400,"")</f>
        <v>4962</v>
      </c>
      <c r="W200" s="5">
        <f>IF($J200=1,G200,"")</f>
        <v>101</v>
      </c>
      <c r="X200">
        <f>IF($J400=0,G400,"")</f>
        <v>34</v>
      </c>
      <c r="Y200">
        <f>IF($J200=1,H200,"")</f>
        <v>0.7</v>
      </c>
      <c r="Z200">
        <f>IF($J400=0,H400,"")</f>
        <v>11.2</v>
      </c>
    </row>
    <row r="201" spans="1:33" x14ac:dyDescent="0.3">
      <c r="A201">
        <v>340</v>
      </c>
      <c r="B201" t="s">
        <v>63</v>
      </c>
      <c r="C201">
        <v>7</v>
      </c>
      <c r="D201" s="5">
        <v>20040</v>
      </c>
      <c r="E201" t="s">
        <v>69</v>
      </c>
      <c r="F201" s="5">
        <v>6192</v>
      </c>
      <c r="G201">
        <v>117</v>
      </c>
      <c r="H201">
        <v>0.6</v>
      </c>
      <c r="I201">
        <v>0.19848969255362681</v>
      </c>
      <c r="J201">
        <v>1</v>
      </c>
      <c r="M201" s="6"/>
      <c r="S201" s="5">
        <f>IF($J201=1,D201,"")</f>
        <v>20040</v>
      </c>
      <c r="T201" s="5">
        <f>IF($J401=0, D401,"")</f>
        <v>22351</v>
      </c>
      <c r="U201" s="5">
        <f>IF($J201=1,F201,"")</f>
        <v>6192</v>
      </c>
      <c r="V201" s="5">
        <f>IF($J401=0,F401,"")</f>
        <v>5765</v>
      </c>
      <c r="W201" s="5">
        <f>IF($J201=1,G201,"")</f>
        <v>117</v>
      </c>
      <c r="X201">
        <f>IF($J401=0,G401,"")</f>
        <v>114</v>
      </c>
      <c r="Y201">
        <f>IF($J201=1,H201,"")</f>
        <v>0.6</v>
      </c>
      <c r="Z201">
        <f>IF($J401=0,H401,"")</f>
        <v>8.8000000000000007</v>
      </c>
    </row>
    <row r="202" spans="1:33" x14ac:dyDescent="0.3">
      <c r="A202">
        <v>233</v>
      </c>
      <c r="B202" t="s">
        <v>65</v>
      </c>
      <c r="C202">
        <v>2</v>
      </c>
      <c r="D202" s="5">
        <v>31916</v>
      </c>
      <c r="E202" t="s">
        <v>68</v>
      </c>
      <c r="F202" s="5">
        <v>3849</v>
      </c>
      <c r="G202">
        <v>53</v>
      </c>
      <c r="H202">
        <v>5.5</v>
      </c>
      <c r="I202">
        <v>4.9008113633194239E-2</v>
      </c>
      <c r="J202">
        <v>1</v>
      </c>
      <c r="M202" s="6"/>
      <c r="S202" s="5">
        <f>IF($J202=1,D202,"")</f>
        <v>31916</v>
      </c>
      <c r="T202" s="5">
        <f>IF($J402=0, D402,"")</f>
        <v>46835</v>
      </c>
      <c r="U202" s="5">
        <f>IF($J202=1,F202,"")</f>
        <v>3849</v>
      </c>
      <c r="V202" s="5">
        <f>IF($J402=0,F402,"")</f>
        <v>5149</v>
      </c>
      <c r="W202" s="5">
        <f>IF($J202=1,G202,"")</f>
        <v>53</v>
      </c>
      <c r="X202">
        <f>IF($J402=0,G402,"")</f>
        <v>51</v>
      </c>
      <c r="Y202">
        <f>IF($J202=1,H202,"")</f>
        <v>5.5</v>
      </c>
      <c r="Z202">
        <f>IF($J402=0,H402,"")</f>
        <v>11.7</v>
      </c>
    </row>
    <row r="203" spans="1:33" x14ac:dyDescent="0.3">
      <c r="A203">
        <v>167</v>
      </c>
      <c r="B203" t="s">
        <v>65</v>
      </c>
      <c r="C203">
        <v>3</v>
      </c>
      <c r="D203" s="5">
        <v>37262</v>
      </c>
      <c r="E203" t="s">
        <v>66</v>
      </c>
      <c r="F203" s="5">
        <v>4516</v>
      </c>
      <c r="G203">
        <v>28</v>
      </c>
      <c r="H203">
        <v>7.8</v>
      </c>
      <c r="I203">
        <v>0.14353548090911161</v>
      </c>
      <c r="J203">
        <v>1</v>
      </c>
      <c r="M203" s="6"/>
      <c r="S203" s="5">
        <f>IF($J203=1,D203,"")</f>
        <v>37262</v>
      </c>
      <c r="T203" s="5">
        <f>IF($J403=0, D403,"")</f>
        <v>22553</v>
      </c>
      <c r="U203" s="5">
        <f>IF($J203=1,F203,"")</f>
        <v>4516</v>
      </c>
      <c r="V203" s="5">
        <f>IF($J403=0,F403,"")</f>
        <v>3580</v>
      </c>
      <c r="W203" s="5">
        <f>IF($J203=1,G203,"")</f>
        <v>28</v>
      </c>
      <c r="X203">
        <f>IF($J403=0,G403,"")</f>
        <v>84</v>
      </c>
      <c r="Y203">
        <f>IF($J203=1,H203,"")</f>
        <v>7.8</v>
      </c>
      <c r="Z203">
        <f>IF($J403=0,H403,"")</f>
        <v>14.9</v>
      </c>
    </row>
    <row r="204" spans="1:33" x14ac:dyDescent="0.3">
      <c r="A204">
        <v>6</v>
      </c>
      <c r="B204" t="s">
        <v>63</v>
      </c>
      <c r="C204">
        <v>7</v>
      </c>
      <c r="D204" s="5">
        <v>30161</v>
      </c>
      <c r="E204" t="s">
        <v>68</v>
      </c>
      <c r="F204" s="5">
        <v>4541</v>
      </c>
      <c r="G204">
        <v>58</v>
      </c>
      <c r="H204">
        <v>9.1999999999999993</v>
      </c>
      <c r="I204">
        <v>0.56483408142419789</v>
      </c>
      <c r="J204">
        <v>1</v>
      </c>
      <c r="M204" s="6"/>
      <c r="S204" s="5">
        <f>IF($J204=1,D204,"")</f>
        <v>30161</v>
      </c>
      <c r="T204" s="5">
        <f>IF($J404=0, D404,"")</f>
        <v>21091</v>
      </c>
      <c r="U204" s="5">
        <f>IF($J204=1,F204,"")</f>
        <v>4541</v>
      </c>
      <c r="V204" s="5">
        <f>IF($J404=0,F404,"")</f>
        <v>2407</v>
      </c>
      <c r="W204" s="5">
        <f>IF($J204=1,G204,"")</f>
        <v>58</v>
      </c>
      <c r="X204">
        <f>IF($J404=0,G404,"")</f>
        <v>92</v>
      </c>
      <c r="Y204">
        <f>IF($J204=1,H204,"")</f>
        <v>9.1999999999999993</v>
      </c>
      <c r="Z204">
        <f>IF($J404=0,H404,"")</f>
        <v>2.2999999999999998</v>
      </c>
    </row>
    <row r="205" spans="1:33" x14ac:dyDescent="0.3">
      <c r="A205">
        <v>320</v>
      </c>
      <c r="B205" t="s">
        <v>63</v>
      </c>
      <c r="C205">
        <v>3</v>
      </c>
      <c r="D205" s="5">
        <v>18935</v>
      </c>
      <c r="E205" t="s">
        <v>67</v>
      </c>
      <c r="F205" s="5">
        <v>4709</v>
      </c>
      <c r="G205">
        <v>29</v>
      </c>
      <c r="H205">
        <v>13.2</v>
      </c>
      <c r="I205">
        <v>0.41796033085152151</v>
      </c>
      <c r="J205">
        <v>1</v>
      </c>
      <c r="M205" s="6"/>
      <c r="S205" s="5">
        <f>IF($J205=1,D205,"")</f>
        <v>18935</v>
      </c>
      <c r="T205" s="5">
        <f>IF($J405=0, D405,"")</f>
        <v>37920</v>
      </c>
      <c r="U205" s="5">
        <f>IF($J205=1,F205,"")</f>
        <v>4709</v>
      </c>
      <c r="V205" s="5">
        <f>IF($J405=0,F405,"")</f>
        <v>5831</v>
      </c>
      <c r="W205" s="5">
        <f>IF($J205=1,G205,"")</f>
        <v>29</v>
      </c>
      <c r="X205">
        <f>IF($J405=0,G405,"")</f>
        <v>120</v>
      </c>
      <c r="Y205">
        <f>IF($J205=1,H205,"")</f>
        <v>13.2</v>
      </c>
      <c r="Z205">
        <f>IF($J405=0,H405,"")</f>
        <v>8.4</v>
      </c>
    </row>
    <row r="206" spans="1:33" x14ac:dyDescent="0.3">
      <c r="A206">
        <v>97</v>
      </c>
      <c r="B206" t="s">
        <v>63</v>
      </c>
      <c r="C206">
        <v>5</v>
      </c>
      <c r="D206" s="5">
        <v>23861</v>
      </c>
      <c r="E206" t="s">
        <v>66</v>
      </c>
      <c r="F206" s="5">
        <v>5945</v>
      </c>
      <c r="G206">
        <v>91</v>
      </c>
      <c r="H206">
        <v>3.5</v>
      </c>
      <c r="I206">
        <v>0.41929336625395075</v>
      </c>
      <c r="J206">
        <v>0</v>
      </c>
      <c r="M206" s="6"/>
      <c r="S206" s="5" t="str">
        <f t="shared" ref="S199:S262" si="0">IF($J206=1,D206,"")</f>
        <v/>
      </c>
      <c r="T206" s="5"/>
      <c r="U206" s="5" t="str">
        <f t="shared" ref="U199:U210" si="1">IF($J206=1,F206,"")</f>
        <v/>
      </c>
      <c r="V206" s="5"/>
      <c r="W206" s="5"/>
    </row>
    <row r="207" spans="1:33" x14ac:dyDescent="0.3">
      <c r="A207">
        <v>25</v>
      </c>
      <c r="B207" t="s">
        <v>64</v>
      </c>
      <c r="C207">
        <v>6</v>
      </c>
      <c r="D207" s="5">
        <v>30323</v>
      </c>
      <c r="E207" t="s">
        <v>67</v>
      </c>
      <c r="F207" s="5">
        <v>5395</v>
      </c>
      <c r="G207">
        <v>29</v>
      </c>
      <c r="H207">
        <v>6.7</v>
      </c>
      <c r="I207">
        <v>0.67257935406428915</v>
      </c>
      <c r="J207">
        <v>0</v>
      </c>
      <c r="M207" s="6"/>
      <c r="S207" t="str">
        <f t="shared" si="0"/>
        <v/>
      </c>
      <c r="U207" t="str">
        <f t="shared" si="1"/>
        <v/>
      </c>
    </row>
    <row r="208" spans="1:33" x14ac:dyDescent="0.3">
      <c r="A208">
        <v>33</v>
      </c>
      <c r="B208" t="s">
        <v>65</v>
      </c>
      <c r="C208">
        <v>8</v>
      </c>
      <c r="D208" s="5">
        <v>27664</v>
      </c>
      <c r="E208" t="s">
        <v>67</v>
      </c>
      <c r="F208" s="5">
        <v>6942</v>
      </c>
      <c r="G208">
        <v>60</v>
      </c>
      <c r="H208">
        <v>11.2</v>
      </c>
      <c r="I208">
        <v>0.97116528203511165</v>
      </c>
      <c r="J208">
        <v>0</v>
      </c>
      <c r="M208" s="6"/>
      <c r="S208" t="str">
        <f t="shared" si="0"/>
        <v/>
      </c>
      <c r="U208" t="str">
        <f t="shared" si="1"/>
        <v/>
      </c>
      <c r="AF208" s="9"/>
      <c r="AG208" s="9"/>
    </row>
    <row r="209" spans="1:33" x14ac:dyDescent="0.3">
      <c r="A209">
        <v>163</v>
      </c>
      <c r="B209" t="s">
        <v>62</v>
      </c>
      <c r="C209">
        <v>2</v>
      </c>
      <c r="D209" s="5">
        <v>22468</v>
      </c>
      <c r="E209" t="s">
        <v>69</v>
      </c>
      <c r="F209" s="5">
        <v>2752</v>
      </c>
      <c r="G209">
        <v>50</v>
      </c>
      <c r="H209">
        <v>13.9</v>
      </c>
      <c r="I209">
        <v>0.8167267837237594</v>
      </c>
      <c r="J209">
        <v>0</v>
      </c>
      <c r="M209" s="6"/>
      <c r="S209" t="str">
        <f t="shared" si="0"/>
        <v/>
      </c>
      <c r="U209" t="str">
        <f t="shared" si="1"/>
        <v/>
      </c>
      <c r="AE209" s="9"/>
      <c r="AF209" s="9"/>
      <c r="AG209" s="9"/>
    </row>
    <row r="210" spans="1:33" x14ac:dyDescent="0.3">
      <c r="A210">
        <v>131</v>
      </c>
      <c r="B210" t="s">
        <v>62</v>
      </c>
      <c r="C210">
        <v>8</v>
      </c>
      <c r="D210" s="5">
        <v>36674</v>
      </c>
      <c r="E210" t="s">
        <v>69</v>
      </c>
      <c r="F210" s="5">
        <v>4730</v>
      </c>
      <c r="G210">
        <v>113</v>
      </c>
      <c r="H210">
        <v>7.2</v>
      </c>
      <c r="I210">
        <v>0.34107322002518337</v>
      </c>
      <c r="J210">
        <v>0</v>
      </c>
      <c r="M210" s="6"/>
      <c r="AE210" s="9"/>
      <c r="AF210" s="9"/>
      <c r="AG210" s="9"/>
    </row>
    <row r="211" spans="1:33" x14ac:dyDescent="0.3">
      <c r="A211">
        <v>382</v>
      </c>
      <c r="B211" t="s">
        <v>62</v>
      </c>
      <c r="C211">
        <v>2</v>
      </c>
      <c r="D211" s="5">
        <v>21108</v>
      </c>
      <c r="E211" t="s">
        <v>69</v>
      </c>
      <c r="F211" s="5">
        <v>3739</v>
      </c>
      <c r="G211">
        <v>58</v>
      </c>
      <c r="H211">
        <v>10.4</v>
      </c>
      <c r="I211">
        <v>0.65705648314968812</v>
      </c>
      <c r="J211">
        <v>0</v>
      </c>
      <c r="M211" s="6"/>
      <c r="AE211" s="9"/>
      <c r="AF211" s="9"/>
      <c r="AG211" s="9"/>
    </row>
    <row r="212" spans="1:33" x14ac:dyDescent="0.3">
      <c r="A212">
        <v>13</v>
      </c>
      <c r="B212" t="s">
        <v>62</v>
      </c>
      <c r="C212">
        <v>7</v>
      </c>
      <c r="D212" s="5">
        <v>27803</v>
      </c>
      <c r="E212" t="s">
        <v>68</v>
      </c>
      <c r="F212" s="5">
        <v>5478</v>
      </c>
      <c r="G212">
        <v>120</v>
      </c>
      <c r="H212">
        <v>14.2</v>
      </c>
      <c r="I212">
        <v>0.28595907087293893</v>
      </c>
      <c r="J212">
        <v>0</v>
      </c>
      <c r="M212" s="6"/>
      <c r="AE212" s="9"/>
      <c r="AF212" s="9"/>
      <c r="AG212" s="9"/>
    </row>
    <row r="213" spans="1:33" x14ac:dyDescent="0.3">
      <c r="A213">
        <v>183</v>
      </c>
      <c r="B213" t="s">
        <v>63</v>
      </c>
      <c r="C213">
        <v>8</v>
      </c>
      <c r="D213" s="5">
        <v>37239</v>
      </c>
      <c r="E213" t="s">
        <v>68</v>
      </c>
      <c r="F213" s="5">
        <v>7041</v>
      </c>
      <c r="G213">
        <v>114</v>
      </c>
      <c r="H213">
        <v>4.8</v>
      </c>
      <c r="I213">
        <v>0.42915867858061618</v>
      </c>
      <c r="J213">
        <v>0</v>
      </c>
      <c r="M213" s="6"/>
      <c r="AE213" s="9"/>
      <c r="AF213" s="9"/>
      <c r="AG213" s="9"/>
    </row>
    <row r="214" spans="1:33" x14ac:dyDescent="0.3">
      <c r="A214">
        <v>181</v>
      </c>
      <c r="B214" t="s">
        <v>63</v>
      </c>
      <c r="C214">
        <v>3</v>
      </c>
      <c r="D214" s="5">
        <v>25603</v>
      </c>
      <c r="E214" t="s">
        <v>68</v>
      </c>
      <c r="F214" s="5">
        <v>2757</v>
      </c>
      <c r="G214">
        <v>26</v>
      </c>
      <c r="H214">
        <v>10.199999999999999</v>
      </c>
      <c r="I214">
        <v>0.51944249142275545</v>
      </c>
      <c r="J214">
        <v>0</v>
      </c>
      <c r="M214" s="6"/>
      <c r="AE214" s="9"/>
      <c r="AF214" s="9"/>
      <c r="AG214" s="9"/>
    </row>
    <row r="215" spans="1:33" x14ac:dyDescent="0.3">
      <c r="A215">
        <v>100</v>
      </c>
      <c r="B215" t="s">
        <v>65</v>
      </c>
      <c r="C215">
        <v>8</v>
      </c>
      <c r="D215" s="5">
        <v>18545</v>
      </c>
      <c r="E215" t="s">
        <v>68</v>
      </c>
      <c r="F215" s="5">
        <v>5378</v>
      </c>
      <c r="G215">
        <v>82</v>
      </c>
      <c r="H215">
        <v>12.4</v>
      </c>
      <c r="I215">
        <v>1.4887331892076583E-2</v>
      </c>
      <c r="J215">
        <v>0</v>
      </c>
      <c r="M215" s="6"/>
      <c r="AE215" s="9"/>
      <c r="AF215" s="9"/>
      <c r="AG215" s="9"/>
    </row>
    <row r="216" spans="1:33" x14ac:dyDescent="0.3">
      <c r="A216">
        <v>117</v>
      </c>
      <c r="B216" t="s">
        <v>63</v>
      </c>
      <c r="C216">
        <v>3</v>
      </c>
      <c r="D216" s="5">
        <v>26672</v>
      </c>
      <c r="E216" t="s">
        <v>68</v>
      </c>
      <c r="F216" s="5">
        <v>3678</v>
      </c>
      <c r="G216">
        <v>101</v>
      </c>
      <c r="H216">
        <v>5.4</v>
      </c>
      <c r="I216">
        <v>0.77322692665378123</v>
      </c>
      <c r="J216">
        <v>0</v>
      </c>
      <c r="M216" s="6"/>
      <c r="AE216" s="9"/>
      <c r="AF216" s="9"/>
      <c r="AG216" s="9"/>
    </row>
    <row r="217" spans="1:33" x14ac:dyDescent="0.3">
      <c r="A217">
        <v>331</v>
      </c>
      <c r="B217" t="s">
        <v>64</v>
      </c>
      <c r="C217">
        <v>7</v>
      </c>
      <c r="D217" s="5">
        <v>23679</v>
      </c>
      <c r="E217" t="s">
        <v>68</v>
      </c>
      <c r="F217" s="5">
        <v>5387</v>
      </c>
      <c r="G217">
        <v>102</v>
      </c>
      <c r="H217">
        <v>7.2</v>
      </c>
      <c r="I217">
        <v>0.75487434340012594</v>
      </c>
      <c r="J217">
        <v>0</v>
      </c>
      <c r="M217" s="6"/>
      <c r="AE217" s="9"/>
      <c r="AF217" s="9"/>
      <c r="AG217" s="9"/>
    </row>
    <row r="218" spans="1:33" ht="15" thickBot="1" x14ac:dyDescent="0.35">
      <c r="A218">
        <v>259</v>
      </c>
      <c r="B218" t="s">
        <v>65</v>
      </c>
      <c r="C218">
        <v>2</v>
      </c>
      <c r="D218" s="5">
        <v>32533</v>
      </c>
      <c r="E218" t="s">
        <v>66</v>
      </c>
      <c r="F218" s="5">
        <v>2374</v>
      </c>
      <c r="G218">
        <v>119</v>
      </c>
      <c r="H218">
        <v>12.9</v>
      </c>
      <c r="I218">
        <v>0.63036936428433166</v>
      </c>
      <c r="J218">
        <v>0</v>
      </c>
      <c r="M218" s="6"/>
      <c r="AE218" s="10"/>
      <c r="AF218" s="10"/>
      <c r="AG218" s="10"/>
    </row>
    <row r="219" spans="1:33" x14ac:dyDescent="0.3">
      <c r="A219">
        <v>228</v>
      </c>
      <c r="B219" t="s">
        <v>64</v>
      </c>
      <c r="C219">
        <v>8</v>
      </c>
      <c r="D219" s="5">
        <v>27282</v>
      </c>
      <c r="E219" t="s">
        <v>67</v>
      </c>
      <c r="F219" s="5">
        <v>4906</v>
      </c>
      <c r="G219">
        <v>77</v>
      </c>
      <c r="H219">
        <v>0.8</v>
      </c>
      <c r="I219">
        <v>7.0628848134885125E-2</v>
      </c>
      <c r="J219">
        <v>0</v>
      </c>
      <c r="M219" s="6"/>
    </row>
    <row r="220" spans="1:33" x14ac:dyDescent="0.3">
      <c r="A220">
        <v>95</v>
      </c>
      <c r="B220" t="s">
        <v>64</v>
      </c>
      <c r="C220">
        <v>2</v>
      </c>
      <c r="D220" s="5">
        <v>18190</v>
      </c>
      <c r="E220" t="s">
        <v>67</v>
      </c>
      <c r="F220" s="5">
        <v>3976</v>
      </c>
      <c r="G220">
        <v>89</v>
      </c>
      <c r="H220">
        <v>13.8</v>
      </c>
      <c r="I220">
        <v>5.7351159155760167E-2</v>
      </c>
      <c r="J220">
        <v>0</v>
      </c>
      <c r="M220" s="6"/>
    </row>
    <row r="221" spans="1:33" x14ac:dyDescent="0.3">
      <c r="A221">
        <v>246</v>
      </c>
      <c r="B221" t="s">
        <v>63</v>
      </c>
      <c r="C221">
        <v>8</v>
      </c>
      <c r="D221" s="5">
        <v>28755</v>
      </c>
      <c r="E221" t="s">
        <v>67</v>
      </c>
      <c r="F221" s="5">
        <v>4897</v>
      </c>
      <c r="G221">
        <v>93</v>
      </c>
      <c r="H221">
        <v>7.8</v>
      </c>
      <c r="I221">
        <v>0.88962472021591332</v>
      </c>
      <c r="J221">
        <v>0</v>
      </c>
      <c r="M221" s="6"/>
    </row>
    <row r="222" spans="1:33" x14ac:dyDescent="0.3">
      <c r="A222">
        <v>217</v>
      </c>
      <c r="B222" t="s">
        <v>62</v>
      </c>
      <c r="C222">
        <v>4</v>
      </c>
      <c r="D222" s="5">
        <v>31492</v>
      </c>
      <c r="E222" t="s">
        <v>68</v>
      </c>
      <c r="F222" s="5">
        <v>5390</v>
      </c>
      <c r="G222">
        <v>18</v>
      </c>
      <c r="H222">
        <v>5.8</v>
      </c>
      <c r="I222">
        <v>4.5170721130639802E-2</v>
      </c>
      <c r="J222">
        <v>0</v>
      </c>
      <c r="M222" s="6"/>
    </row>
    <row r="223" spans="1:33" x14ac:dyDescent="0.3">
      <c r="A223">
        <v>32</v>
      </c>
      <c r="B223" t="s">
        <v>64</v>
      </c>
      <c r="C223">
        <v>2</v>
      </c>
      <c r="D223" s="5">
        <v>29818</v>
      </c>
      <c r="E223" t="s">
        <v>68</v>
      </c>
      <c r="F223" s="5">
        <v>4351</v>
      </c>
      <c r="G223">
        <v>119</v>
      </c>
      <c r="H223">
        <v>10.1</v>
      </c>
      <c r="I223">
        <v>0.57756660520696401</v>
      </c>
      <c r="J223">
        <v>0</v>
      </c>
      <c r="M223" s="6"/>
    </row>
    <row r="224" spans="1:33" x14ac:dyDescent="0.3">
      <c r="A224">
        <v>138</v>
      </c>
      <c r="B224" t="s">
        <v>63</v>
      </c>
      <c r="C224">
        <v>2</v>
      </c>
      <c r="D224" s="5">
        <v>24250</v>
      </c>
      <c r="E224" t="s">
        <v>68</v>
      </c>
      <c r="F224" s="5">
        <v>2851</v>
      </c>
      <c r="G224">
        <v>53</v>
      </c>
      <c r="H224">
        <v>10.199999999999999</v>
      </c>
      <c r="I224">
        <v>0.64978093051330588</v>
      </c>
      <c r="J224">
        <v>0</v>
      </c>
      <c r="M224" s="6"/>
    </row>
    <row r="225" spans="1:19" x14ac:dyDescent="0.3">
      <c r="A225">
        <v>354</v>
      </c>
      <c r="B225" t="s">
        <v>64</v>
      </c>
      <c r="C225">
        <v>7</v>
      </c>
      <c r="D225" s="5">
        <v>29289</v>
      </c>
      <c r="E225" t="s">
        <v>67</v>
      </c>
      <c r="F225" s="5">
        <v>6542</v>
      </c>
      <c r="G225">
        <v>57</v>
      </c>
      <c r="H225">
        <v>2.9</v>
      </c>
      <c r="I225">
        <v>0.32918409385789049</v>
      </c>
      <c r="J225">
        <v>0</v>
      </c>
      <c r="M225" s="6"/>
    </row>
    <row r="226" spans="1:19" x14ac:dyDescent="0.3">
      <c r="A226">
        <v>38</v>
      </c>
      <c r="B226" t="s">
        <v>65</v>
      </c>
      <c r="C226">
        <v>7</v>
      </c>
      <c r="D226" s="5">
        <v>29429</v>
      </c>
      <c r="E226" t="s">
        <v>68</v>
      </c>
      <c r="F226" s="5">
        <v>6762</v>
      </c>
      <c r="G226">
        <v>84</v>
      </c>
      <c r="H226">
        <v>8.4</v>
      </c>
      <c r="I226">
        <v>0.51880483884826001</v>
      </c>
      <c r="J226">
        <v>0</v>
      </c>
      <c r="M226" s="6"/>
    </row>
    <row r="227" spans="1:19" x14ac:dyDescent="0.3">
      <c r="A227">
        <v>343</v>
      </c>
      <c r="B227" t="s">
        <v>65</v>
      </c>
      <c r="C227">
        <v>6</v>
      </c>
      <c r="D227" s="5">
        <v>18749</v>
      </c>
      <c r="E227" t="s">
        <v>67</v>
      </c>
      <c r="F227" s="5">
        <v>4729</v>
      </c>
      <c r="G227">
        <v>29</v>
      </c>
      <c r="H227">
        <v>14.8</v>
      </c>
      <c r="I227">
        <v>0.29123038872030949</v>
      </c>
      <c r="J227">
        <v>0</v>
      </c>
      <c r="M227" s="6"/>
    </row>
    <row r="228" spans="1:19" x14ac:dyDescent="0.3">
      <c r="A228">
        <v>285</v>
      </c>
      <c r="B228" t="s">
        <v>63</v>
      </c>
      <c r="C228">
        <v>6</v>
      </c>
      <c r="D228" s="5">
        <v>22611</v>
      </c>
      <c r="E228" t="s">
        <v>69</v>
      </c>
      <c r="F228" s="5">
        <v>4890</v>
      </c>
      <c r="G228">
        <v>62</v>
      </c>
      <c r="H228">
        <v>11.5</v>
      </c>
      <c r="I228">
        <v>0.46639659866352334</v>
      </c>
      <c r="J228">
        <v>0</v>
      </c>
      <c r="M228" s="6"/>
    </row>
    <row r="229" spans="1:19" x14ac:dyDescent="0.3">
      <c r="A229">
        <v>249</v>
      </c>
      <c r="B229" t="s">
        <v>65</v>
      </c>
      <c r="C229">
        <v>2</v>
      </c>
      <c r="D229" s="5">
        <v>16295</v>
      </c>
      <c r="E229" t="s">
        <v>69</v>
      </c>
      <c r="F229" s="5">
        <v>3555</v>
      </c>
      <c r="G229">
        <v>36</v>
      </c>
      <c r="H229">
        <v>7.2</v>
      </c>
      <c r="I229">
        <v>0.41286363913331425</v>
      </c>
      <c r="J229">
        <v>0</v>
      </c>
      <c r="M229" s="6"/>
    </row>
    <row r="230" spans="1:19" x14ac:dyDescent="0.3">
      <c r="A230">
        <v>394</v>
      </c>
      <c r="B230" t="s">
        <v>62</v>
      </c>
      <c r="C230">
        <v>6</v>
      </c>
      <c r="D230" s="5">
        <v>30044</v>
      </c>
      <c r="E230" t="s">
        <v>68</v>
      </c>
      <c r="F230" s="5">
        <v>5391</v>
      </c>
      <c r="G230">
        <v>118</v>
      </c>
      <c r="H230">
        <v>3.8</v>
      </c>
      <c r="I230">
        <v>0.39925212256253495</v>
      </c>
      <c r="J230">
        <v>0</v>
      </c>
      <c r="M230" s="6"/>
    </row>
    <row r="231" spans="1:19" x14ac:dyDescent="0.3">
      <c r="A231">
        <v>57</v>
      </c>
      <c r="B231" t="s">
        <v>65</v>
      </c>
      <c r="C231">
        <v>7</v>
      </c>
      <c r="D231" s="5">
        <v>20777</v>
      </c>
      <c r="E231" t="s">
        <v>69</v>
      </c>
      <c r="F231" s="5">
        <v>6667</v>
      </c>
      <c r="G231">
        <v>88</v>
      </c>
      <c r="H231">
        <v>2</v>
      </c>
      <c r="I231">
        <v>0.96102404746690184</v>
      </c>
      <c r="J231">
        <v>0</v>
      </c>
      <c r="M231" s="6"/>
    </row>
    <row r="232" spans="1:19" x14ac:dyDescent="0.3">
      <c r="A232">
        <v>281</v>
      </c>
      <c r="B232" t="s">
        <v>65</v>
      </c>
      <c r="C232">
        <v>2</v>
      </c>
      <c r="D232" s="5">
        <v>26752</v>
      </c>
      <c r="E232" t="s">
        <v>69</v>
      </c>
      <c r="F232" s="5">
        <v>3866</v>
      </c>
      <c r="G232">
        <v>105</v>
      </c>
      <c r="H232">
        <v>10.7</v>
      </c>
      <c r="I232">
        <v>0.48494026177749761</v>
      </c>
      <c r="J232">
        <v>0</v>
      </c>
      <c r="M232" s="6"/>
    </row>
    <row r="233" spans="1:19" x14ac:dyDescent="0.3">
      <c r="A233">
        <v>260</v>
      </c>
      <c r="B233" t="s">
        <v>62</v>
      </c>
      <c r="C233">
        <v>5</v>
      </c>
      <c r="D233" s="5">
        <v>24669</v>
      </c>
      <c r="E233" t="s">
        <v>69</v>
      </c>
      <c r="F233" s="5">
        <v>5293</v>
      </c>
      <c r="G233">
        <v>77</v>
      </c>
      <c r="H233">
        <v>14.4</v>
      </c>
      <c r="I233">
        <v>0.42463666951155188</v>
      </c>
      <c r="J233">
        <v>0</v>
      </c>
      <c r="M233" s="6"/>
      <c r="S233" t="str">
        <f t="shared" si="0"/>
        <v/>
      </c>
    </row>
    <row r="234" spans="1:19" x14ac:dyDescent="0.3">
      <c r="A234">
        <v>129</v>
      </c>
      <c r="B234" t="s">
        <v>63</v>
      </c>
      <c r="C234">
        <v>6</v>
      </c>
      <c r="D234" s="5">
        <v>29246</v>
      </c>
      <c r="E234" t="s">
        <v>69</v>
      </c>
      <c r="F234" s="5">
        <v>5422</v>
      </c>
      <c r="G234">
        <v>88</v>
      </c>
      <c r="H234">
        <v>9.8000000000000007</v>
      </c>
      <c r="I234">
        <v>0.93837508275036474</v>
      </c>
      <c r="J234">
        <v>0</v>
      </c>
      <c r="M234" s="6"/>
      <c r="S234" t="str">
        <f t="shared" si="0"/>
        <v/>
      </c>
    </row>
    <row r="235" spans="1:19" x14ac:dyDescent="0.3">
      <c r="A235">
        <v>210</v>
      </c>
      <c r="B235" t="s">
        <v>64</v>
      </c>
      <c r="C235">
        <v>3</v>
      </c>
      <c r="D235" s="5">
        <v>42892</v>
      </c>
      <c r="E235" t="s">
        <v>67</v>
      </c>
      <c r="F235" s="5">
        <v>4418</v>
      </c>
      <c r="G235">
        <v>79</v>
      </c>
      <c r="H235">
        <v>9.3000000000000007</v>
      </c>
      <c r="I235">
        <v>0.88619610696316609</v>
      </c>
      <c r="J235">
        <v>0</v>
      </c>
      <c r="M235" s="6"/>
      <c r="S235" t="str">
        <f t="shared" si="0"/>
        <v/>
      </c>
    </row>
    <row r="236" spans="1:19" x14ac:dyDescent="0.3">
      <c r="A236">
        <v>65</v>
      </c>
      <c r="B236" t="s">
        <v>62</v>
      </c>
      <c r="C236">
        <v>2</v>
      </c>
      <c r="D236" s="5">
        <v>23936</v>
      </c>
      <c r="E236" t="s">
        <v>67</v>
      </c>
      <c r="F236" s="5">
        <v>2921</v>
      </c>
      <c r="G236">
        <v>101</v>
      </c>
      <c r="H236">
        <v>0.7</v>
      </c>
      <c r="I236">
        <v>5.6450193713995955E-2</v>
      </c>
      <c r="J236">
        <v>0</v>
      </c>
      <c r="M236" s="6"/>
      <c r="S236" t="str">
        <f t="shared" si="0"/>
        <v/>
      </c>
    </row>
    <row r="237" spans="1:19" x14ac:dyDescent="0.3">
      <c r="A237">
        <v>5</v>
      </c>
      <c r="B237" t="s">
        <v>65</v>
      </c>
      <c r="C237">
        <v>7</v>
      </c>
      <c r="D237" s="5">
        <v>29838</v>
      </c>
      <c r="E237" t="s">
        <v>69</v>
      </c>
      <c r="F237" s="5">
        <v>4816</v>
      </c>
      <c r="G237">
        <v>94</v>
      </c>
      <c r="H237">
        <v>14.7</v>
      </c>
      <c r="I237">
        <v>0.4255363497626099</v>
      </c>
      <c r="J237">
        <v>0</v>
      </c>
      <c r="M237" s="6"/>
      <c r="S237" t="str">
        <f t="shared" si="0"/>
        <v/>
      </c>
    </row>
    <row r="238" spans="1:19" x14ac:dyDescent="0.3">
      <c r="A238">
        <v>324</v>
      </c>
      <c r="B238" t="s">
        <v>64</v>
      </c>
      <c r="C238">
        <v>7</v>
      </c>
      <c r="D238" s="5">
        <v>30304</v>
      </c>
      <c r="E238" t="s">
        <v>69</v>
      </c>
      <c r="F238" s="5">
        <v>4779</v>
      </c>
      <c r="G238">
        <v>88</v>
      </c>
      <c r="H238">
        <v>7.4</v>
      </c>
      <c r="I238">
        <v>0.59613905812809487</v>
      </c>
      <c r="J238">
        <v>0</v>
      </c>
      <c r="M238" s="6"/>
      <c r="S238" t="str">
        <f t="shared" si="0"/>
        <v/>
      </c>
    </row>
    <row r="239" spans="1:19" x14ac:dyDescent="0.3">
      <c r="A239">
        <v>42</v>
      </c>
      <c r="B239" t="s">
        <v>65</v>
      </c>
      <c r="C239">
        <v>8</v>
      </c>
      <c r="D239" s="5">
        <v>29894</v>
      </c>
      <c r="E239" t="s">
        <v>67</v>
      </c>
      <c r="F239" s="5">
        <v>7143</v>
      </c>
      <c r="G239">
        <v>111</v>
      </c>
      <c r="H239">
        <v>8.9</v>
      </c>
      <c r="I239">
        <v>0.99848968062517174</v>
      </c>
      <c r="J239">
        <v>0</v>
      </c>
      <c r="M239" s="6"/>
      <c r="S239" t="str">
        <f t="shared" si="0"/>
        <v/>
      </c>
    </row>
    <row r="240" spans="1:19" x14ac:dyDescent="0.3">
      <c r="A240">
        <v>172</v>
      </c>
      <c r="B240" t="s">
        <v>64</v>
      </c>
      <c r="C240">
        <v>2</v>
      </c>
      <c r="D240" s="5">
        <v>23896</v>
      </c>
      <c r="E240" t="s">
        <v>68</v>
      </c>
      <c r="F240" s="5">
        <v>2582</v>
      </c>
      <c r="G240">
        <v>65</v>
      </c>
      <c r="H240">
        <v>12.3</v>
      </c>
      <c r="I240">
        <v>0.51562896813602876</v>
      </c>
      <c r="J240">
        <v>0</v>
      </c>
      <c r="M240" s="6"/>
      <c r="S240" t="str">
        <f t="shared" si="0"/>
        <v/>
      </c>
    </row>
    <row r="241" spans="1:19" x14ac:dyDescent="0.3">
      <c r="A241">
        <v>313</v>
      </c>
      <c r="B241" t="s">
        <v>63</v>
      </c>
      <c r="C241">
        <v>3</v>
      </c>
      <c r="D241" s="5">
        <v>27983</v>
      </c>
      <c r="E241" t="s">
        <v>68</v>
      </c>
      <c r="F241" s="5">
        <v>3917</v>
      </c>
      <c r="G241">
        <v>120</v>
      </c>
      <c r="H241">
        <v>8.6</v>
      </c>
      <c r="I241">
        <v>0.6651746676230802</v>
      </c>
      <c r="J241">
        <v>0</v>
      </c>
      <c r="M241" s="6"/>
      <c r="S241" t="str">
        <f t="shared" si="0"/>
        <v/>
      </c>
    </row>
    <row r="242" spans="1:19" x14ac:dyDescent="0.3">
      <c r="A242">
        <v>1</v>
      </c>
      <c r="B242" t="s">
        <v>63</v>
      </c>
      <c r="C242">
        <v>2</v>
      </c>
      <c r="D242" s="5">
        <v>30714</v>
      </c>
      <c r="E242" t="s">
        <v>68</v>
      </c>
      <c r="F242" s="5">
        <v>3373</v>
      </c>
      <c r="G242">
        <v>92</v>
      </c>
      <c r="H242">
        <v>14.1</v>
      </c>
      <c r="I242">
        <v>0.19963662557178607</v>
      </c>
      <c r="J242">
        <v>0</v>
      </c>
      <c r="M242" s="6"/>
      <c r="S242" t="str">
        <f t="shared" si="0"/>
        <v/>
      </c>
    </row>
    <row r="243" spans="1:19" x14ac:dyDescent="0.3">
      <c r="A243">
        <v>75</v>
      </c>
      <c r="B243" t="s">
        <v>64</v>
      </c>
      <c r="C243">
        <v>3</v>
      </c>
      <c r="D243" s="5">
        <v>26646</v>
      </c>
      <c r="E243" t="s">
        <v>69</v>
      </c>
      <c r="F243" s="5">
        <v>3043</v>
      </c>
      <c r="G243">
        <v>59</v>
      </c>
      <c r="H243">
        <v>8.5</v>
      </c>
      <c r="I243">
        <v>4.3112816769060869E-2</v>
      </c>
      <c r="J243">
        <v>0</v>
      </c>
      <c r="M243" s="6"/>
      <c r="S243" t="str">
        <f t="shared" si="0"/>
        <v/>
      </c>
    </row>
    <row r="244" spans="1:19" x14ac:dyDescent="0.3">
      <c r="A244">
        <v>388</v>
      </c>
      <c r="B244" t="s">
        <v>62</v>
      </c>
      <c r="C244">
        <v>2</v>
      </c>
      <c r="D244" s="5">
        <v>24515</v>
      </c>
      <c r="E244" t="s">
        <v>69</v>
      </c>
      <c r="F244" s="5">
        <v>3476</v>
      </c>
      <c r="G244">
        <v>19</v>
      </c>
      <c r="H244">
        <v>8</v>
      </c>
      <c r="I244">
        <v>0.3187696872687974</v>
      </c>
      <c r="J244">
        <v>0</v>
      </c>
      <c r="M244" s="6"/>
      <c r="S244" t="str">
        <f t="shared" si="0"/>
        <v/>
      </c>
    </row>
    <row r="245" spans="1:19" x14ac:dyDescent="0.3">
      <c r="A245">
        <v>223</v>
      </c>
      <c r="B245" t="s">
        <v>63</v>
      </c>
      <c r="C245">
        <v>7</v>
      </c>
      <c r="D245" s="5">
        <v>27375</v>
      </c>
      <c r="E245" t="s">
        <v>69</v>
      </c>
      <c r="F245" s="5">
        <v>4816</v>
      </c>
      <c r="G245">
        <v>110</v>
      </c>
      <c r="H245">
        <v>2</v>
      </c>
      <c r="I245">
        <v>0.17782305840806967</v>
      </c>
      <c r="J245">
        <v>0</v>
      </c>
      <c r="M245" s="6"/>
      <c r="S245" t="str">
        <f t="shared" si="0"/>
        <v/>
      </c>
    </row>
    <row r="246" spans="1:19" x14ac:dyDescent="0.3">
      <c r="A246">
        <v>255</v>
      </c>
      <c r="B246" t="s">
        <v>64</v>
      </c>
      <c r="C246">
        <v>4</v>
      </c>
      <c r="D246" s="5">
        <v>27245</v>
      </c>
      <c r="E246" t="s">
        <v>68</v>
      </c>
      <c r="F246" s="5">
        <v>5381</v>
      </c>
      <c r="G246">
        <v>41</v>
      </c>
      <c r="H246">
        <v>4.9000000000000004</v>
      </c>
      <c r="I246">
        <v>0.90667997146290913</v>
      </c>
      <c r="J246">
        <v>0</v>
      </c>
      <c r="M246" s="6"/>
      <c r="S246" t="str">
        <f t="shared" si="0"/>
        <v/>
      </c>
    </row>
    <row r="247" spans="1:19" x14ac:dyDescent="0.3">
      <c r="A247">
        <v>160</v>
      </c>
      <c r="B247" t="s">
        <v>62</v>
      </c>
      <c r="C247">
        <v>4</v>
      </c>
      <c r="D247" s="5">
        <v>19328</v>
      </c>
      <c r="E247" t="s">
        <v>66</v>
      </c>
      <c r="F247" s="5">
        <v>4965</v>
      </c>
      <c r="G247">
        <v>45</v>
      </c>
      <c r="H247">
        <v>0.9</v>
      </c>
      <c r="I247">
        <v>0.50345229015276227</v>
      </c>
      <c r="J247">
        <v>0</v>
      </c>
      <c r="M247" s="6"/>
      <c r="S247" t="str">
        <f t="shared" si="0"/>
        <v/>
      </c>
    </row>
    <row r="248" spans="1:19" x14ac:dyDescent="0.3">
      <c r="A248">
        <v>130</v>
      </c>
      <c r="B248" t="s">
        <v>64</v>
      </c>
      <c r="C248">
        <v>3</v>
      </c>
      <c r="D248" s="5">
        <v>15564</v>
      </c>
      <c r="E248" t="s">
        <v>67</v>
      </c>
      <c r="F248" s="5">
        <v>3675</v>
      </c>
      <c r="G248">
        <v>35</v>
      </c>
      <c r="H248">
        <v>13.8</v>
      </c>
      <c r="I248">
        <v>0.28644583240854071</v>
      </c>
      <c r="J248">
        <v>0</v>
      </c>
      <c r="M248" s="6"/>
      <c r="S248" t="str">
        <f t="shared" si="0"/>
        <v/>
      </c>
    </row>
    <row r="249" spans="1:19" x14ac:dyDescent="0.3">
      <c r="A249">
        <v>145</v>
      </c>
      <c r="B249" t="s">
        <v>63</v>
      </c>
      <c r="C249">
        <v>8</v>
      </c>
      <c r="D249" s="5">
        <v>42549</v>
      </c>
      <c r="E249" t="s">
        <v>68</v>
      </c>
      <c r="F249" s="5">
        <v>5192</v>
      </c>
      <c r="G249">
        <v>97</v>
      </c>
      <c r="H249">
        <v>0.8</v>
      </c>
      <c r="I249">
        <v>8.8465027236354077E-2</v>
      </c>
      <c r="J249">
        <v>0</v>
      </c>
      <c r="M249" s="6"/>
      <c r="S249" t="str">
        <f t="shared" si="0"/>
        <v/>
      </c>
    </row>
    <row r="250" spans="1:19" x14ac:dyDescent="0.3">
      <c r="A250">
        <v>213</v>
      </c>
      <c r="B250" t="s">
        <v>64</v>
      </c>
      <c r="C250">
        <v>7</v>
      </c>
      <c r="D250" s="5">
        <v>31357</v>
      </c>
      <c r="E250" t="s">
        <v>68</v>
      </c>
      <c r="F250" s="5">
        <v>6029</v>
      </c>
      <c r="G250">
        <v>34</v>
      </c>
      <c r="H250">
        <v>8.8000000000000007</v>
      </c>
      <c r="I250">
        <v>0.56745625492543827</v>
      </c>
      <c r="J250">
        <v>0</v>
      </c>
      <c r="M250" s="6"/>
      <c r="S250" t="str">
        <f t="shared" si="0"/>
        <v/>
      </c>
    </row>
    <row r="251" spans="1:19" x14ac:dyDescent="0.3">
      <c r="A251">
        <v>166</v>
      </c>
      <c r="B251" t="s">
        <v>63</v>
      </c>
      <c r="C251">
        <v>2</v>
      </c>
      <c r="D251" s="5">
        <v>34373</v>
      </c>
      <c r="E251" t="s">
        <v>67</v>
      </c>
      <c r="F251" s="5">
        <v>3759</v>
      </c>
      <c r="G251">
        <v>111</v>
      </c>
      <c r="H251">
        <v>4.8</v>
      </c>
      <c r="I251">
        <v>0.3425663864252334</v>
      </c>
      <c r="J251">
        <v>0</v>
      </c>
      <c r="M251" s="6"/>
      <c r="S251" t="str">
        <f t="shared" si="0"/>
        <v/>
      </c>
    </row>
    <row r="252" spans="1:19" x14ac:dyDescent="0.3">
      <c r="A252">
        <v>352</v>
      </c>
      <c r="B252" t="s">
        <v>65</v>
      </c>
      <c r="C252">
        <v>5</v>
      </c>
      <c r="D252" s="5">
        <v>32562</v>
      </c>
      <c r="E252" t="s">
        <v>69</v>
      </c>
      <c r="F252" s="5">
        <v>3908</v>
      </c>
      <c r="G252">
        <v>24</v>
      </c>
      <c r="H252">
        <v>10.8</v>
      </c>
      <c r="I252">
        <v>0.93276878928086171</v>
      </c>
      <c r="J252">
        <v>0</v>
      </c>
      <c r="M252" s="6"/>
      <c r="S252" t="str">
        <f t="shared" si="0"/>
        <v/>
      </c>
    </row>
    <row r="253" spans="1:19" x14ac:dyDescent="0.3">
      <c r="A253">
        <v>162</v>
      </c>
      <c r="B253" t="s">
        <v>64</v>
      </c>
      <c r="C253">
        <v>6</v>
      </c>
      <c r="D253" s="5">
        <v>23284</v>
      </c>
      <c r="E253" t="s">
        <v>67</v>
      </c>
      <c r="F253" s="5">
        <v>5463</v>
      </c>
      <c r="G253">
        <v>42</v>
      </c>
      <c r="H253">
        <v>12.8</v>
      </c>
      <c r="I253">
        <v>0.18501563696849166</v>
      </c>
      <c r="J253">
        <v>0</v>
      </c>
      <c r="M253" s="6"/>
      <c r="S253" t="str">
        <f t="shared" si="0"/>
        <v/>
      </c>
    </row>
    <row r="254" spans="1:19" x14ac:dyDescent="0.3">
      <c r="A254">
        <v>209</v>
      </c>
      <c r="B254" t="s">
        <v>62</v>
      </c>
      <c r="C254">
        <v>4</v>
      </c>
      <c r="D254" s="5">
        <v>30281</v>
      </c>
      <c r="E254" t="s">
        <v>68</v>
      </c>
      <c r="F254" s="5">
        <v>5250</v>
      </c>
      <c r="G254">
        <v>29</v>
      </c>
      <c r="H254">
        <v>1.3</v>
      </c>
      <c r="I254">
        <v>0.95221795256260844</v>
      </c>
      <c r="J254">
        <v>0</v>
      </c>
      <c r="M254" s="6"/>
      <c r="S254" t="str">
        <f t="shared" si="0"/>
        <v/>
      </c>
    </row>
    <row r="255" spans="1:19" x14ac:dyDescent="0.3">
      <c r="A255">
        <v>151</v>
      </c>
      <c r="B255" t="s">
        <v>64</v>
      </c>
      <c r="C255">
        <v>6</v>
      </c>
      <c r="D255" s="5">
        <v>27076</v>
      </c>
      <c r="E255" t="s">
        <v>68</v>
      </c>
      <c r="F255" s="5">
        <v>4289</v>
      </c>
      <c r="G255">
        <v>15</v>
      </c>
      <c r="H255">
        <v>13.9</v>
      </c>
      <c r="I255">
        <v>0.42453354547095989</v>
      </c>
      <c r="J255">
        <v>0</v>
      </c>
      <c r="M255" s="6"/>
      <c r="S255" t="str">
        <f t="shared" si="0"/>
        <v/>
      </c>
    </row>
    <row r="256" spans="1:19" x14ac:dyDescent="0.3">
      <c r="A256">
        <v>389</v>
      </c>
      <c r="B256" t="s">
        <v>63</v>
      </c>
      <c r="C256">
        <v>8</v>
      </c>
      <c r="D256" s="5">
        <v>30471</v>
      </c>
      <c r="E256" t="s">
        <v>68</v>
      </c>
      <c r="F256" s="5">
        <v>5624</v>
      </c>
      <c r="G256">
        <v>39</v>
      </c>
      <c r="H256">
        <v>7.4</v>
      </c>
      <c r="I256">
        <v>0.81161377323168094</v>
      </c>
      <c r="J256">
        <v>0</v>
      </c>
      <c r="M256" s="6"/>
      <c r="S256" t="str">
        <f t="shared" si="0"/>
        <v/>
      </c>
    </row>
    <row r="257" spans="1:19" x14ac:dyDescent="0.3">
      <c r="A257">
        <v>312</v>
      </c>
      <c r="B257" t="s">
        <v>62</v>
      </c>
      <c r="C257">
        <v>4</v>
      </c>
      <c r="D257" s="5">
        <v>30771</v>
      </c>
      <c r="E257" t="s">
        <v>68</v>
      </c>
      <c r="F257" s="5">
        <v>3723</v>
      </c>
      <c r="G257">
        <v>34</v>
      </c>
      <c r="H257">
        <v>2.9</v>
      </c>
      <c r="I257">
        <v>0.3723248970355667</v>
      </c>
      <c r="J257">
        <v>0</v>
      </c>
      <c r="M257" s="6"/>
      <c r="S257" t="str">
        <f t="shared" si="0"/>
        <v/>
      </c>
    </row>
    <row r="258" spans="1:19" x14ac:dyDescent="0.3">
      <c r="A258">
        <v>330</v>
      </c>
      <c r="B258" t="s">
        <v>64</v>
      </c>
      <c r="C258">
        <v>5</v>
      </c>
      <c r="D258" s="5">
        <v>30406</v>
      </c>
      <c r="E258" t="s">
        <v>66</v>
      </c>
      <c r="F258" s="5">
        <v>4369</v>
      </c>
      <c r="G258">
        <v>97</v>
      </c>
      <c r="H258">
        <v>0.5</v>
      </c>
      <c r="I258">
        <v>0.23154524104306884</v>
      </c>
      <c r="J258">
        <v>0</v>
      </c>
      <c r="M258" s="6"/>
      <c r="S258" t="str">
        <f t="shared" si="0"/>
        <v/>
      </c>
    </row>
    <row r="259" spans="1:19" x14ac:dyDescent="0.3">
      <c r="A259">
        <v>40</v>
      </c>
      <c r="B259" t="s">
        <v>62</v>
      </c>
      <c r="C259">
        <v>5</v>
      </c>
      <c r="D259" s="5">
        <v>20753</v>
      </c>
      <c r="E259" t="s">
        <v>66</v>
      </c>
      <c r="F259" s="5">
        <v>5538</v>
      </c>
      <c r="G259">
        <v>106</v>
      </c>
      <c r="H259">
        <v>11.1</v>
      </c>
      <c r="I259">
        <v>0.93276549617359283</v>
      </c>
      <c r="J259">
        <v>0</v>
      </c>
      <c r="M259" s="6"/>
      <c r="S259" t="str">
        <f t="shared" si="0"/>
        <v/>
      </c>
    </row>
    <row r="260" spans="1:19" x14ac:dyDescent="0.3">
      <c r="A260">
        <v>236</v>
      </c>
      <c r="B260" t="s">
        <v>64</v>
      </c>
      <c r="C260">
        <v>8</v>
      </c>
      <c r="D260" s="5">
        <v>22652</v>
      </c>
      <c r="E260" t="s">
        <v>67</v>
      </c>
      <c r="F260" s="5">
        <v>4832</v>
      </c>
      <c r="G260">
        <v>26</v>
      </c>
      <c r="H260">
        <v>2.5</v>
      </c>
      <c r="I260">
        <v>0.60404442100732036</v>
      </c>
      <c r="J260">
        <v>0</v>
      </c>
      <c r="M260" s="6"/>
      <c r="S260" t="str">
        <f t="shared" si="0"/>
        <v/>
      </c>
    </row>
    <row r="261" spans="1:19" x14ac:dyDescent="0.3">
      <c r="A261">
        <v>177</v>
      </c>
      <c r="B261" t="s">
        <v>63</v>
      </c>
      <c r="C261">
        <v>6</v>
      </c>
      <c r="D261" s="5">
        <v>30415</v>
      </c>
      <c r="E261" t="s">
        <v>67</v>
      </c>
      <c r="F261" s="5">
        <v>4319</v>
      </c>
      <c r="G261">
        <v>91</v>
      </c>
      <c r="H261">
        <v>3.3</v>
      </c>
      <c r="I261">
        <v>0.17268587530946611</v>
      </c>
      <c r="J261">
        <v>0</v>
      </c>
      <c r="M261" s="6"/>
      <c r="S261" t="str">
        <f t="shared" si="0"/>
        <v/>
      </c>
    </row>
    <row r="262" spans="1:19" x14ac:dyDescent="0.3">
      <c r="A262">
        <v>185</v>
      </c>
      <c r="B262" t="s">
        <v>64</v>
      </c>
      <c r="C262">
        <v>3</v>
      </c>
      <c r="D262" s="5">
        <v>36906</v>
      </c>
      <c r="E262" t="s">
        <v>68</v>
      </c>
      <c r="F262" s="5">
        <v>4259</v>
      </c>
      <c r="G262">
        <v>88</v>
      </c>
      <c r="H262">
        <v>8</v>
      </c>
      <c r="I262">
        <v>0.83811163510547504</v>
      </c>
      <c r="J262">
        <v>0</v>
      </c>
      <c r="M262" s="6"/>
      <c r="S262" t="str">
        <f t="shared" si="0"/>
        <v/>
      </c>
    </row>
    <row r="263" spans="1:19" x14ac:dyDescent="0.3">
      <c r="A263">
        <v>92</v>
      </c>
      <c r="B263" t="s">
        <v>63</v>
      </c>
      <c r="C263">
        <v>6</v>
      </c>
      <c r="D263" s="5">
        <v>18184</v>
      </c>
      <c r="E263" t="s">
        <v>67</v>
      </c>
      <c r="F263" s="5">
        <v>6262</v>
      </c>
      <c r="G263">
        <v>115</v>
      </c>
      <c r="H263">
        <v>5.5</v>
      </c>
      <c r="I263">
        <v>0.86125697746947694</v>
      </c>
      <c r="J263">
        <v>0</v>
      </c>
      <c r="M263" s="6"/>
      <c r="S263" t="str">
        <f t="shared" ref="S263:S326" si="2">IF($J263=1,D263,"")</f>
        <v/>
      </c>
    </row>
    <row r="264" spans="1:19" x14ac:dyDescent="0.3">
      <c r="A264">
        <v>22</v>
      </c>
      <c r="B264" t="s">
        <v>63</v>
      </c>
      <c r="C264">
        <v>6</v>
      </c>
      <c r="D264" s="5">
        <v>29131</v>
      </c>
      <c r="E264" t="s">
        <v>67</v>
      </c>
      <c r="F264" s="5">
        <v>5997</v>
      </c>
      <c r="G264">
        <v>23</v>
      </c>
      <c r="H264">
        <v>8.6</v>
      </c>
      <c r="I264">
        <v>0.99739643262485012</v>
      </c>
      <c r="J264">
        <v>0</v>
      </c>
      <c r="M264" s="6"/>
      <c r="S264" t="str">
        <f t="shared" si="2"/>
        <v/>
      </c>
    </row>
    <row r="265" spans="1:19" x14ac:dyDescent="0.3">
      <c r="A265">
        <v>286</v>
      </c>
      <c r="B265" t="s">
        <v>63</v>
      </c>
      <c r="C265">
        <v>4</v>
      </c>
      <c r="D265" s="5">
        <v>40275</v>
      </c>
      <c r="E265" t="s">
        <v>68</v>
      </c>
      <c r="F265" s="5">
        <v>5023</v>
      </c>
      <c r="G265">
        <v>86</v>
      </c>
      <c r="H265">
        <v>13.4</v>
      </c>
      <c r="I265">
        <v>0.18760112691943087</v>
      </c>
      <c r="J265">
        <v>0</v>
      </c>
      <c r="M265" s="6"/>
      <c r="S265" t="str">
        <f t="shared" si="2"/>
        <v/>
      </c>
    </row>
    <row r="266" spans="1:19" x14ac:dyDescent="0.3">
      <c r="A266">
        <v>257</v>
      </c>
      <c r="B266" t="s">
        <v>64</v>
      </c>
      <c r="C266">
        <v>3</v>
      </c>
      <c r="D266" s="5">
        <v>32073</v>
      </c>
      <c r="E266" t="s">
        <v>68</v>
      </c>
      <c r="F266" s="5">
        <v>4350</v>
      </c>
      <c r="G266">
        <v>22</v>
      </c>
      <c r="H266">
        <v>2.2999999999999998</v>
      </c>
      <c r="I266">
        <v>0.11837540139663572</v>
      </c>
      <c r="J266">
        <v>0</v>
      </c>
      <c r="M266" s="6"/>
      <c r="S266" t="str">
        <f t="shared" si="2"/>
        <v/>
      </c>
    </row>
    <row r="267" spans="1:19" x14ac:dyDescent="0.3">
      <c r="A267">
        <v>350</v>
      </c>
      <c r="B267" t="s">
        <v>65</v>
      </c>
      <c r="C267">
        <v>5</v>
      </c>
      <c r="D267" s="5">
        <v>16786</v>
      </c>
      <c r="E267" t="s">
        <v>67</v>
      </c>
      <c r="F267" s="5">
        <v>3751</v>
      </c>
      <c r="G267">
        <v>114</v>
      </c>
      <c r="H267">
        <v>10.3</v>
      </c>
      <c r="I267">
        <v>0.36985021307663912</v>
      </c>
      <c r="J267">
        <v>0</v>
      </c>
      <c r="M267" s="6"/>
      <c r="S267" t="str">
        <f t="shared" si="2"/>
        <v/>
      </c>
    </row>
    <row r="268" spans="1:19" x14ac:dyDescent="0.3">
      <c r="A268">
        <v>148</v>
      </c>
      <c r="B268" t="s">
        <v>64</v>
      </c>
      <c r="C268">
        <v>8</v>
      </c>
      <c r="D268" s="5">
        <v>36348</v>
      </c>
      <c r="E268" t="s">
        <v>69</v>
      </c>
      <c r="F268" s="5">
        <v>5003</v>
      </c>
      <c r="G268">
        <v>111</v>
      </c>
      <c r="H268">
        <v>4.2</v>
      </c>
      <c r="I268">
        <v>0.30994561146187127</v>
      </c>
      <c r="J268">
        <v>0</v>
      </c>
      <c r="M268" s="6"/>
      <c r="S268" t="str">
        <f t="shared" si="2"/>
        <v/>
      </c>
    </row>
    <row r="269" spans="1:19" x14ac:dyDescent="0.3">
      <c r="A269">
        <v>306</v>
      </c>
      <c r="B269" t="s">
        <v>65</v>
      </c>
      <c r="C269">
        <v>6</v>
      </c>
      <c r="D269" s="5">
        <v>31536</v>
      </c>
      <c r="E269" t="s">
        <v>68</v>
      </c>
      <c r="F269" s="5">
        <v>3997</v>
      </c>
      <c r="G269">
        <v>64</v>
      </c>
      <c r="H269">
        <v>13.7</v>
      </c>
      <c r="I269">
        <v>1.0682773565150794E-2</v>
      </c>
      <c r="J269">
        <v>0</v>
      </c>
      <c r="M269" s="6"/>
      <c r="S269" t="str">
        <f t="shared" si="2"/>
        <v/>
      </c>
    </row>
    <row r="270" spans="1:19" x14ac:dyDescent="0.3">
      <c r="A270">
        <v>328</v>
      </c>
      <c r="B270" t="s">
        <v>62</v>
      </c>
      <c r="C270">
        <v>7</v>
      </c>
      <c r="D270" s="5">
        <v>21769</v>
      </c>
      <c r="E270" t="s">
        <v>67</v>
      </c>
      <c r="F270" s="5">
        <v>6131</v>
      </c>
      <c r="G270">
        <v>38</v>
      </c>
      <c r="H270">
        <v>3.6</v>
      </c>
      <c r="I270">
        <v>9.509331649442021E-2</v>
      </c>
      <c r="J270">
        <v>0</v>
      </c>
      <c r="M270" s="6"/>
      <c r="S270" t="str">
        <f t="shared" si="2"/>
        <v/>
      </c>
    </row>
    <row r="271" spans="1:19" x14ac:dyDescent="0.3">
      <c r="A271">
        <v>142</v>
      </c>
      <c r="B271" t="s">
        <v>64</v>
      </c>
      <c r="C271">
        <v>6</v>
      </c>
      <c r="D271" s="5">
        <v>34621</v>
      </c>
      <c r="E271" t="s">
        <v>69</v>
      </c>
      <c r="F271" s="5">
        <v>4173</v>
      </c>
      <c r="G271">
        <v>21</v>
      </c>
      <c r="H271">
        <v>6</v>
      </c>
      <c r="I271">
        <v>0.21879462439130459</v>
      </c>
      <c r="J271">
        <v>0</v>
      </c>
      <c r="M271" s="6"/>
      <c r="S271" t="str">
        <f t="shared" si="2"/>
        <v/>
      </c>
    </row>
    <row r="272" spans="1:19" x14ac:dyDescent="0.3">
      <c r="A272">
        <v>397</v>
      </c>
      <c r="B272" t="s">
        <v>63</v>
      </c>
      <c r="C272">
        <v>6</v>
      </c>
      <c r="D272" s="5">
        <v>38972</v>
      </c>
      <c r="E272" t="s">
        <v>66</v>
      </c>
      <c r="F272" s="5">
        <v>5117</v>
      </c>
      <c r="G272">
        <v>73</v>
      </c>
      <c r="H272">
        <v>3.5</v>
      </c>
      <c r="I272">
        <v>0.81810252262821326</v>
      </c>
      <c r="J272">
        <v>0</v>
      </c>
      <c r="M272" s="6"/>
      <c r="S272" t="str">
        <f t="shared" si="2"/>
        <v/>
      </c>
    </row>
    <row r="273" spans="1:19" x14ac:dyDescent="0.3">
      <c r="A273">
        <v>80</v>
      </c>
      <c r="B273" t="s">
        <v>62</v>
      </c>
      <c r="C273">
        <v>2</v>
      </c>
      <c r="D273" s="5">
        <v>39253</v>
      </c>
      <c r="E273" t="s">
        <v>68</v>
      </c>
      <c r="F273" s="5">
        <v>4306</v>
      </c>
      <c r="G273">
        <v>43</v>
      </c>
      <c r="H273">
        <v>7.7</v>
      </c>
      <c r="I273">
        <v>0.11174660434653505</v>
      </c>
      <c r="J273">
        <v>0</v>
      </c>
      <c r="M273" s="6"/>
      <c r="S273" t="str">
        <f t="shared" si="2"/>
        <v/>
      </c>
    </row>
    <row r="274" spans="1:19" x14ac:dyDescent="0.3">
      <c r="A274">
        <v>43</v>
      </c>
      <c r="B274" t="s">
        <v>64</v>
      </c>
      <c r="C274">
        <v>7</v>
      </c>
      <c r="D274" s="5">
        <v>32647</v>
      </c>
      <c r="E274" t="s">
        <v>67</v>
      </c>
      <c r="F274" s="5">
        <v>6784</v>
      </c>
      <c r="G274">
        <v>120</v>
      </c>
      <c r="H274">
        <v>4</v>
      </c>
      <c r="I274">
        <v>0.98984223486251799</v>
      </c>
      <c r="J274">
        <v>0</v>
      </c>
      <c r="M274" s="6"/>
      <c r="S274" t="str">
        <f t="shared" si="2"/>
        <v/>
      </c>
    </row>
    <row r="275" spans="1:19" x14ac:dyDescent="0.3">
      <c r="A275">
        <v>197</v>
      </c>
      <c r="B275" t="s">
        <v>62</v>
      </c>
      <c r="C275">
        <v>8</v>
      </c>
      <c r="D275" s="5">
        <v>20536</v>
      </c>
      <c r="E275" t="s">
        <v>67</v>
      </c>
      <c r="F275" s="5">
        <v>6213</v>
      </c>
      <c r="G275">
        <v>103</v>
      </c>
      <c r="H275">
        <v>10.199999999999999</v>
      </c>
      <c r="I275">
        <v>0.83043808165649491</v>
      </c>
      <c r="J275">
        <v>0</v>
      </c>
      <c r="M275" s="6"/>
      <c r="S275" t="str">
        <f t="shared" si="2"/>
        <v/>
      </c>
    </row>
    <row r="276" spans="1:19" x14ac:dyDescent="0.3">
      <c r="A276">
        <v>319</v>
      </c>
      <c r="B276" t="s">
        <v>64</v>
      </c>
      <c r="C276">
        <v>3</v>
      </c>
      <c r="D276" s="5">
        <v>30399</v>
      </c>
      <c r="E276" t="s">
        <v>67</v>
      </c>
      <c r="F276" s="5">
        <v>4678</v>
      </c>
      <c r="G276">
        <v>74</v>
      </c>
      <c r="H276">
        <v>0.5</v>
      </c>
      <c r="I276">
        <v>8.517886574481881E-2</v>
      </c>
      <c r="J276">
        <v>0</v>
      </c>
      <c r="M276" s="6"/>
      <c r="S276" t="str">
        <f t="shared" si="2"/>
        <v/>
      </c>
    </row>
    <row r="277" spans="1:19" x14ac:dyDescent="0.3">
      <c r="A277">
        <v>221</v>
      </c>
      <c r="B277" t="s">
        <v>65</v>
      </c>
      <c r="C277">
        <v>2</v>
      </c>
      <c r="D277" s="5">
        <v>22931</v>
      </c>
      <c r="E277" t="s">
        <v>67</v>
      </c>
      <c r="F277" s="5">
        <v>4458</v>
      </c>
      <c r="G277">
        <v>65</v>
      </c>
      <c r="H277">
        <v>6.5</v>
      </c>
      <c r="I277">
        <v>0.60988562571909821</v>
      </c>
      <c r="J277">
        <v>0</v>
      </c>
      <c r="M277" s="6"/>
      <c r="S277" t="str">
        <f t="shared" si="2"/>
        <v/>
      </c>
    </row>
    <row r="278" spans="1:19" x14ac:dyDescent="0.3">
      <c r="A278">
        <v>86</v>
      </c>
      <c r="B278" t="s">
        <v>64</v>
      </c>
      <c r="C278">
        <v>6</v>
      </c>
      <c r="D278" s="5">
        <v>20729</v>
      </c>
      <c r="E278" t="s">
        <v>68</v>
      </c>
      <c r="F278" s="5">
        <v>4649</v>
      </c>
      <c r="G278">
        <v>95</v>
      </c>
      <c r="H278">
        <v>13.6</v>
      </c>
      <c r="I278">
        <v>0.13493262584997978</v>
      </c>
      <c r="J278">
        <v>0</v>
      </c>
      <c r="M278" s="6"/>
      <c r="S278" t="str">
        <f t="shared" si="2"/>
        <v/>
      </c>
    </row>
    <row r="279" spans="1:19" x14ac:dyDescent="0.3">
      <c r="A279">
        <v>194</v>
      </c>
      <c r="B279" t="s">
        <v>62</v>
      </c>
      <c r="C279">
        <v>4</v>
      </c>
      <c r="D279" s="5">
        <v>39883</v>
      </c>
      <c r="E279" t="s">
        <v>68</v>
      </c>
      <c r="F279" s="5">
        <v>5369</v>
      </c>
      <c r="G279">
        <v>26</v>
      </c>
      <c r="H279">
        <v>10.199999999999999</v>
      </c>
      <c r="I279">
        <v>0.98908612585389244</v>
      </c>
      <c r="J279">
        <v>0</v>
      </c>
      <c r="M279" s="6"/>
      <c r="S279" t="str">
        <f t="shared" si="2"/>
        <v/>
      </c>
    </row>
    <row r="280" spans="1:19" x14ac:dyDescent="0.3">
      <c r="A280">
        <v>155</v>
      </c>
      <c r="B280" t="s">
        <v>65</v>
      </c>
      <c r="C280">
        <v>6</v>
      </c>
      <c r="D280" s="5">
        <v>33521</v>
      </c>
      <c r="E280" t="s">
        <v>68</v>
      </c>
      <c r="F280" s="5">
        <v>4637</v>
      </c>
      <c r="G280">
        <v>23</v>
      </c>
      <c r="H280">
        <v>10</v>
      </c>
      <c r="I280">
        <v>0.83784139901821852</v>
      </c>
      <c r="J280">
        <v>0</v>
      </c>
      <c r="M280" s="6"/>
      <c r="S280" t="str">
        <f t="shared" si="2"/>
        <v/>
      </c>
    </row>
    <row r="281" spans="1:19" x14ac:dyDescent="0.3">
      <c r="A281">
        <v>287</v>
      </c>
      <c r="B281" t="s">
        <v>63</v>
      </c>
      <c r="C281">
        <v>3</v>
      </c>
      <c r="D281" s="5">
        <v>35280</v>
      </c>
      <c r="E281" t="s">
        <v>67</v>
      </c>
      <c r="F281" s="5">
        <v>2851</v>
      </c>
      <c r="G281">
        <v>70</v>
      </c>
      <c r="H281">
        <v>2.4</v>
      </c>
      <c r="I281">
        <v>0.56815727022482376</v>
      </c>
      <c r="J281">
        <v>0</v>
      </c>
      <c r="M281" s="6"/>
      <c r="S281" t="str">
        <f t="shared" si="2"/>
        <v/>
      </c>
    </row>
    <row r="282" spans="1:19" x14ac:dyDescent="0.3">
      <c r="A282">
        <v>39</v>
      </c>
      <c r="B282" t="s">
        <v>62</v>
      </c>
      <c r="C282">
        <v>8</v>
      </c>
      <c r="D282" s="5">
        <v>31399</v>
      </c>
      <c r="E282" t="s">
        <v>66</v>
      </c>
      <c r="F282" s="5">
        <v>5305</v>
      </c>
      <c r="G282">
        <v>36</v>
      </c>
      <c r="H282">
        <v>6.3</v>
      </c>
      <c r="I282">
        <v>0.55932120201828728</v>
      </c>
      <c r="J282">
        <v>0</v>
      </c>
      <c r="M282" s="6"/>
      <c r="S282" t="str">
        <f t="shared" si="2"/>
        <v/>
      </c>
    </row>
    <row r="283" spans="1:19" x14ac:dyDescent="0.3">
      <c r="A283">
        <v>20</v>
      </c>
      <c r="B283" t="s">
        <v>62</v>
      </c>
      <c r="C283">
        <v>7</v>
      </c>
      <c r="D283" s="5">
        <v>20712</v>
      </c>
      <c r="E283" t="s">
        <v>67</v>
      </c>
      <c r="F283" s="5">
        <v>4385</v>
      </c>
      <c r="G283">
        <v>91</v>
      </c>
      <c r="H283">
        <v>9.6</v>
      </c>
      <c r="I283">
        <v>0.61376826684539298</v>
      </c>
      <c r="J283">
        <v>0</v>
      </c>
      <c r="M283" s="6"/>
      <c r="S283" t="str">
        <f t="shared" si="2"/>
        <v/>
      </c>
    </row>
    <row r="284" spans="1:19" x14ac:dyDescent="0.3">
      <c r="A284">
        <v>277</v>
      </c>
      <c r="B284" t="s">
        <v>63</v>
      </c>
      <c r="C284">
        <v>8</v>
      </c>
      <c r="D284" s="5">
        <v>31679</v>
      </c>
      <c r="E284" t="s">
        <v>67</v>
      </c>
      <c r="F284" s="5">
        <v>6090</v>
      </c>
      <c r="G284">
        <v>33</v>
      </c>
      <c r="H284">
        <v>4.5</v>
      </c>
      <c r="I284">
        <v>0.10012567729490063</v>
      </c>
      <c r="J284">
        <v>0</v>
      </c>
      <c r="M284" s="6"/>
      <c r="S284" t="str">
        <f t="shared" si="2"/>
        <v/>
      </c>
    </row>
    <row r="285" spans="1:19" x14ac:dyDescent="0.3">
      <c r="A285">
        <v>111</v>
      </c>
      <c r="B285" t="s">
        <v>65</v>
      </c>
      <c r="C285">
        <v>3</v>
      </c>
      <c r="D285" s="5">
        <v>30343</v>
      </c>
      <c r="E285" t="s">
        <v>67</v>
      </c>
      <c r="F285" s="5">
        <v>4130</v>
      </c>
      <c r="G285">
        <v>101</v>
      </c>
      <c r="H285">
        <v>0.5</v>
      </c>
      <c r="I285">
        <v>0.45249656819413897</v>
      </c>
      <c r="J285">
        <v>0</v>
      </c>
      <c r="M285" s="6"/>
      <c r="S285" t="str">
        <f t="shared" si="2"/>
        <v/>
      </c>
    </row>
    <row r="286" spans="1:19" x14ac:dyDescent="0.3">
      <c r="A286">
        <v>88</v>
      </c>
      <c r="B286" t="s">
        <v>62</v>
      </c>
      <c r="C286">
        <v>3</v>
      </c>
      <c r="D286" s="5">
        <v>29207</v>
      </c>
      <c r="E286" t="s">
        <v>69</v>
      </c>
      <c r="F286" s="5">
        <v>2899</v>
      </c>
      <c r="G286">
        <v>51</v>
      </c>
      <c r="H286">
        <v>14.8</v>
      </c>
      <c r="I286">
        <v>0.84024947342983025</v>
      </c>
      <c r="J286">
        <v>0</v>
      </c>
      <c r="M286" s="6"/>
      <c r="S286" t="str">
        <f t="shared" si="2"/>
        <v/>
      </c>
    </row>
    <row r="287" spans="1:19" x14ac:dyDescent="0.3">
      <c r="A287">
        <v>106</v>
      </c>
      <c r="B287" t="s">
        <v>62</v>
      </c>
      <c r="C287">
        <v>5</v>
      </c>
      <c r="D287" s="5">
        <v>28697</v>
      </c>
      <c r="E287" t="s">
        <v>67</v>
      </c>
      <c r="F287" s="5">
        <v>5187</v>
      </c>
      <c r="G287">
        <v>26</v>
      </c>
      <c r="H287">
        <v>4.5</v>
      </c>
      <c r="I287">
        <v>0.31143669687300224</v>
      </c>
      <c r="J287">
        <v>0</v>
      </c>
      <c r="M287" s="6"/>
      <c r="S287" t="str">
        <f t="shared" si="2"/>
        <v/>
      </c>
    </row>
    <row r="288" spans="1:19" x14ac:dyDescent="0.3">
      <c r="A288">
        <v>332</v>
      </c>
      <c r="B288" t="s">
        <v>64</v>
      </c>
      <c r="C288">
        <v>3</v>
      </c>
      <c r="D288" s="5">
        <v>26555</v>
      </c>
      <c r="E288" t="s">
        <v>67</v>
      </c>
      <c r="F288" s="5">
        <v>3395</v>
      </c>
      <c r="G288">
        <v>91</v>
      </c>
      <c r="H288">
        <v>11.5</v>
      </c>
      <c r="I288">
        <v>0.76420986781471922</v>
      </c>
      <c r="J288">
        <v>0</v>
      </c>
      <c r="M288" s="6"/>
      <c r="S288" t="str">
        <f t="shared" si="2"/>
        <v/>
      </c>
    </row>
    <row r="289" spans="1:19" x14ac:dyDescent="0.3">
      <c r="A289">
        <v>114</v>
      </c>
      <c r="B289" t="s">
        <v>63</v>
      </c>
      <c r="C289">
        <v>6</v>
      </c>
      <c r="D289" s="5">
        <v>20723</v>
      </c>
      <c r="E289" t="s">
        <v>67</v>
      </c>
      <c r="F289" s="5">
        <v>6194</v>
      </c>
      <c r="G289">
        <v>117</v>
      </c>
      <c r="H289">
        <v>2.8</v>
      </c>
      <c r="I289">
        <v>0.85547008474076736</v>
      </c>
      <c r="J289">
        <v>0</v>
      </c>
      <c r="M289" s="6"/>
      <c r="S289" t="str">
        <f t="shared" si="2"/>
        <v/>
      </c>
    </row>
    <row r="290" spans="1:19" x14ac:dyDescent="0.3">
      <c r="A290">
        <v>336</v>
      </c>
      <c r="B290" t="s">
        <v>63</v>
      </c>
      <c r="C290">
        <v>7</v>
      </c>
      <c r="D290" s="5">
        <v>29384</v>
      </c>
      <c r="E290" t="s">
        <v>67</v>
      </c>
      <c r="F290" s="5">
        <v>4564</v>
      </c>
      <c r="G290">
        <v>16</v>
      </c>
      <c r="H290">
        <v>9.1999999999999993</v>
      </c>
      <c r="I290">
        <v>0.26301539501031268</v>
      </c>
      <c r="J290">
        <v>0</v>
      </c>
      <c r="M290" s="6"/>
      <c r="S290" t="str">
        <f t="shared" si="2"/>
        <v/>
      </c>
    </row>
    <row r="291" spans="1:19" x14ac:dyDescent="0.3">
      <c r="A291">
        <v>229</v>
      </c>
      <c r="B291" t="s">
        <v>65</v>
      </c>
      <c r="C291">
        <v>5</v>
      </c>
      <c r="D291" s="5">
        <v>31582</v>
      </c>
      <c r="E291" t="s">
        <v>69</v>
      </c>
      <c r="F291" s="5">
        <v>5847</v>
      </c>
      <c r="G291">
        <v>22</v>
      </c>
      <c r="H291">
        <v>9.4</v>
      </c>
      <c r="I291">
        <v>0.40933858849208926</v>
      </c>
      <c r="J291">
        <v>0</v>
      </c>
      <c r="M291" s="6"/>
      <c r="S291" t="str">
        <f t="shared" si="2"/>
        <v/>
      </c>
    </row>
    <row r="292" spans="1:19" x14ac:dyDescent="0.3">
      <c r="A292">
        <v>64</v>
      </c>
      <c r="B292" t="s">
        <v>65</v>
      </c>
      <c r="C292">
        <v>7</v>
      </c>
      <c r="D292" s="5">
        <v>20584</v>
      </c>
      <c r="E292" t="s">
        <v>68</v>
      </c>
      <c r="F292" s="5">
        <v>5303</v>
      </c>
      <c r="G292">
        <v>91</v>
      </c>
      <c r="H292">
        <v>10.199999999999999</v>
      </c>
      <c r="I292">
        <v>0.6419013311976739</v>
      </c>
      <c r="J292">
        <v>0</v>
      </c>
      <c r="M292" s="6"/>
      <c r="S292" t="str">
        <f t="shared" si="2"/>
        <v/>
      </c>
    </row>
    <row r="293" spans="1:19" x14ac:dyDescent="0.3">
      <c r="A293">
        <v>295</v>
      </c>
      <c r="B293" t="s">
        <v>62</v>
      </c>
      <c r="C293">
        <v>5</v>
      </c>
      <c r="D293" s="5">
        <v>39296</v>
      </c>
      <c r="E293" t="s">
        <v>69</v>
      </c>
      <c r="F293" s="5">
        <v>4112</v>
      </c>
      <c r="G293">
        <v>54</v>
      </c>
      <c r="H293">
        <v>3.7</v>
      </c>
      <c r="I293">
        <v>6.3963406962710412E-2</v>
      </c>
      <c r="J293">
        <v>0</v>
      </c>
      <c r="M293" s="6"/>
      <c r="S293" t="str">
        <f t="shared" si="2"/>
        <v/>
      </c>
    </row>
    <row r="294" spans="1:19" x14ac:dyDescent="0.3">
      <c r="A294">
        <v>2</v>
      </c>
      <c r="B294" t="s">
        <v>62</v>
      </c>
      <c r="C294">
        <v>6</v>
      </c>
      <c r="D294" s="5">
        <v>27183</v>
      </c>
      <c r="E294" t="s">
        <v>68</v>
      </c>
      <c r="F294" s="5">
        <v>5831</v>
      </c>
      <c r="G294">
        <v>21</v>
      </c>
      <c r="H294">
        <v>9.3000000000000007</v>
      </c>
      <c r="I294">
        <v>0.84840840953671492</v>
      </c>
      <c r="J294">
        <v>0</v>
      </c>
      <c r="M294" s="6"/>
      <c r="S294" t="str">
        <f t="shared" si="2"/>
        <v/>
      </c>
    </row>
    <row r="295" spans="1:19" x14ac:dyDescent="0.3">
      <c r="A295">
        <v>396</v>
      </c>
      <c r="B295" t="s">
        <v>64</v>
      </c>
      <c r="C295">
        <v>4</v>
      </c>
      <c r="D295" s="5">
        <v>20316</v>
      </c>
      <c r="E295" t="s">
        <v>68</v>
      </c>
      <c r="F295" s="5">
        <v>3478</v>
      </c>
      <c r="G295">
        <v>60</v>
      </c>
      <c r="H295">
        <v>4.5999999999999996</v>
      </c>
      <c r="I295">
        <v>0.5604849696712132</v>
      </c>
      <c r="J295">
        <v>0</v>
      </c>
      <c r="M295" s="6"/>
      <c r="S295" t="str">
        <f t="shared" si="2"/>
        <v/>
      </c>
    </row>
    <row r="296" spans="1:19" x14ac:dyDescent="0.3">
      <c r="A296">
        <v>164</v>
      </c>
      <c r="B296" t="s">
        <v>63</v>
      </c>
      <c r="C296">
        <v>3</v>
      </c>
      <c r="D296" s="5">
        <v>20254</v>
      </c>
      <c r="E296" t="s">
        <v>68</v>
      </c>
      <c r="F296" s="5">
        <v>4134</v>
      </c>
      <c r="G296">
        <v>55</v>
      </c>
      <c r="H296">
        <v>4.4000000000000004</v>
      </c>
      <c r="I296">
        <v>0.82845938386117157</v>
      </c>
      <c r="J296">
        <v>0</v>
      </c>
      <c r="M296" s="6"/>
      <c r="S296" t="str">
        <f t="shared" si="2"/>
        <v/>
      </c>
    </row>
    <row r="297" spans="1:19" x14ac:dyDescent="0.3">
      <c r="A297">
        <v>307</v>
      </c>
      <c r="B297" t="s">
        <v>64</v>
      </c>
      <c r="C297">
        <v>6</v>
      </c>
      <c r="D297" s="5">
        <v>13585</v>
      </c>
      <c r="E297" t="s">
        <v>69</v>
      </c>
      <c r="F297" s="5">
        <v>4967</v>
      </c>
      <c r="G297">
        <v>57</v>
      </c>
      <c r="H297">
        <v>3.5</v>
      </c>
      <c r="I297">
        <v>0.16340054772584478</v>
      </c>
      <c r="J297">
        <v>0</v>
      </c>
      <c r="M297" s="6"/>
      <c r="S297" t="str">
        <f t="shared" si="2"/>
        <v/>
      </c>
    </row>
    <row r="298" spans="1:19" x14ac:dyDescent="0.3">
      <c r="A298">
        <v>73</v>
      </c>
      <c r="B298" t="s">
        <v>65</v>
      </c>
      <c r="C298">
        <v>7</v>
      </c>
      <c r="D298" s="5">
        <v>33845</v>
      </c>
      <c r="E298" t="s">
        <v>69</v>
      </c>
      <c r="F298" s="5">
        <v>6610</v>
      </c>
      <c r="G298">
        <v>120</v>
      </c>
      <c r="H298">
        <v>6</v>
      </c>
      <c r="I298">
        <v>0.96348405549067639</v>
      </c>
      <c r="J298">
        <v>0</v>
      </c>
      <c r="M298" s="6"/>
      <c r="S298" t="str">
        <f t="shared" si="2"/>
        <v/>
      </c>
    </row>
    <row r="299" spans="1:19" x14ac:dyDescent="0.3">
      <c r="A299">
        <v>96</v>
      </c>
      <c r="B299" t="s">
        <v>63</v>
      </c>
      <c r="C299">
        <v>6</v>
      </c>
      <c r="D299" s="5">
        <v>34588</v>
      </c>
      <c r="E299" t="s">
        <v>69</v>
      </c>
      <c r="F299" s="5">
        <v>4396</v>
      </c>
      <c r="G299">
        <v>15</v>
      </c>
      <c r="H299">
        <v>11.8</v>
      </c>
      <c r="I299">
        <v>0.53642635937240657</v>
      </c>
      <c r="J299">
        <v>0</v>
      </c>
      <c r="M299" s="6"/>
      <c r="S299" t="str">
        <f t="shared" si="2"/>
        <v/>
      </c>
    </row>
    <row r="300" spans="1:19" x14ac:dyDescent="0.3">
      <c r="A300">
        <v>35</v>
      </c>
      <c r="B300" t="s">
        <v>63</v>
      </c>
      <c r="C300">
        <v>7</v>
      </c>
      <c r="D300" s="5">
        <v>33238</v>
      </c>
      <c r="E300" t="s">
        <v>69</v>
      </c>
      <c r="F300" s="5">
        <v>4688</v>
      </c>
      <c r="G300">
        <v>47</v>
      </c>
      <c r="H300">
        <v>6.5</v>
      </c>
      <c r="I300">
        <v>0.45495094815268755</v>
      </c>
      <c r="J300">
        <v>0</v>
      </c>
      <c r="M300" s="6"/>
      <c r="S300" t="str">
        <f t="shared" si="2"/>
        <v/>
      </c>
    </row>
    <row r="301" spans="1:19" x14ac:dyDescent="0.3">
      <c r="A301">
        <v>335</v>
      </c>
      <c r="B301" t="s">
        <v>65</v>
      </c>
      <c r="C301">
        <v>7</v>
      </c>
      <c r="D301" s="5">
        <v>22723</v>
      </c>
      <c r="E301" t="s">
        <v>67</v>
      </c>
      <c r="F301" s="5">
        <v>5616</v>
      </c>
      <c r="G301">
        <v>46</v>
      </c>
      <c r="H301">
        <v>2.1</v>
      </c>
      <c r="I301">
        <v>0.48312198089659641</v>
      </c>
      <c r="J301">
        <v>0</v>
      </c>
      <c r="M301" s="6"/>
      <c r="S301" t="str">
        <f t="shared" si="2"/>
        <v/>
      </c>
    </row>
    <row r="302" spans="1:19" x14ac:dyDescent="0.3">
      <c r="A302">
        <v>178</v>
      </c>
      <c r="B302" t="s">
        <v>63</v>
      </c>
      <c r="C302">
        <v>4</v>
      </c>
      <c r="D302" s="5">
        <v>27001</v>
      </c>
      <c r="E302" t="s">
        <v>67</v>
      </c>
      <c r="F302" s="5">
        <v>3124</v>
      </c>
      <c r="G302">
        <v>81</v>
      </c>
      <c r="H302">
        <v>8.3000000000000007</v>
      </c>
      <c r="I302">
        <v>0.19486433540180315</v>
      </c>
      <c r="J302">
        <v>0</v>
      </c>
      <c r="M302" s="6"/>
      <c r="S302" t="str">
        <f t="shared" si="2"/>
        <v/>
      </c>
    </row>
    <row r="303" spans="1:19" x14ac:dyDescent="0.3">
      <c r="A303">
        <v>202</v>
      </c>
      <c r="B303" t="s">
        <v>64</v>
      </c>
      <c r="C303">
        <v>3</v>
      </c>
      <c r="D303" s="5">
        <v>27599</v>
      </c>
      <c r="E303" t="s">
        <v>67</v>
      </c>
      <c r="F303" s="5">
        <v>4670</v>
      </c>
      <c r="G303">
        <v>56</v>
      </c>
      <c r="H303">
        <v>8.1999999999999993</v>
      </c>
      <c r="I303">
        <v>0.47699219321281305</v>
      </c>
      <c r="J303">
        <v>0</v>
      </c>
      <c r="M303" s="6"/>
      <c r="S303" t="str">
        <f t="shared" si="2"/>
        <v/>
      </c>
    </row>
    <row r="304" spans="1:19" x14ac:dyDescent="0.3">
      <c r="A304">
        <v>264</v>
      </c>
      <c r="B304" t="s">
        <v>63</v>
      </c>
      <c r="C304">
        <v>6</v>
      </c>
      <c r="D304" s="5">
        <v>28642</v>
      </c>
      <c r="E304" t="s">
        <v>69</v>
      </c>
      <c r="F304" s="5">
        <v>4236</v>
      </c>
      <c r="G304">
        <v>52</v>
      </c>
      <c r="H304">
        <v>1.4</v>
      </c>
      <c r="I304">
        <v>0.3486893185829405</v>
      </c>
      <c r="J304">
        <v>0</v>
      </c>
      <c r="M304" s="6"/>
      <c r="S304" t="str">
        <f t="shared" si="2"/>
        <v/>
      </c>
    </row>
    <row r="305" spans="1:19" x14ac:dyDescent="0.3">
      <c r="A305">
        <v>188</v>
      </c>
      <c r="B305" t="s">
        <v>63</v>
      </c>
      <c r="C305">
        <v>6</v>
      </c>
      <c r="D305" s="5">
        <v>22281</v>
      </c>
      <c r="E305" t="s">
        <v>68</v>
      </c>
      <c r="F305" s="5">
        <v>5536</v>
      </c>
      <c r="G305">
        <v>76</v>
      </c>
      <c r="H305">
        <v>5.5</v>
      </c>
      <c r="I305">
        <v>0.49641013861469319</v>
      </c>
      <c r="J305">
        <v>0</v>
      </c>
      <c r="M305" s="6"/>
      <c r="S305" t="str">
        <f t="shared" si="2"/>
        <v/>
      </c>
    </row>
    <row r="306" spans="1:19" x14ac:dyDescent="0.3">
      <c r="A306">
        <v>132</v>
      </c>
      <c r="B306" t="s">
        <v>65</v>
      </c>
      <c r="C306">
        <v>5</v>
      </c>
      <c r="D306" s="5">
        <v>43890</v>
      </c>
      <c r="E306" t="s">
        <v>67</v>
      </c>
      <c r="F306" s="5">
        <v>4934</v>
      </c>
      <c r="G306">
        <v>102</v>
      </c>
      <c r="H306">
        <v>2.2000000000000002</v>
      </c>
      <c r="I306">
        <v>0.92464279125809801</v>
      </c>
      <c r="J306">
        <v>0</v>
      </c>
      <c r="M306" s="6"/>
      <c r="S306" t="str">
        <f t="shared" si="2"/>
        <v/>
      </c>
    </row>
    <row r="307" spans="1:19" x14ac:dyDescent="0.3">
      <c r="A307">
        <v>15</v>
      </c>
      <c r="B307" t="s">
        <v>63</v>
      </c>
      <c r="C307">
        <v>3</v>
      </c>
      <c r="D307" s="5">
        <v>35720</v>
      </c>
      <c r="E307" t="s">
        <v>67</v>
      </c>
      <c r="F307" s="5">
        <v>4036</v>
      </c>
      <c r="G307">
        <v>24</v>
      </c>
      <c r="H307">
        <v>15</v>
      </c>
      <c r="I307">
        <v>0.35905246220608755</v>
      </c>
      <c r="J307">
        <v>0</v>
      </c>
      <c r="M307" s="6"/>
      <c r="S307" t="str">
        <f t="shared" si="2"/>
        <v/>
      </c>
    </row>
    <row r="308" spans="1:19" x14ac:dyDescent="0.3">
      <c r="A308">
        <v>245</v>
      </c>
      <c r="B308" t="s">
        <v>65</v>
      </c>
      <c r="C308">
        <v>8</v>
      </c>
      <c r="D308" s="5">
        <v>30529</v>
      </c>
      <c r="E308" t="s">
        <v>66</v>
      </c>
      <c r="F308" s="5">
        <v>6815</v>
      </c>
      <c r="G308">
        <v>47</v>
      </c>
      <c r="H308">
        <v>10.9</v>
      </c>
      <c r="I308">
        <v>0.77378340665713818</v>
      </c>
      <c r="J308">
        <v>0</v>
      </c>
      <c r="M308" s="6"/>
      <c r="S308" t="str">
        <f t="shared" si="2"/>
        <v/>
      </c>
    </row>
    <row r="309" spans="1:19" x14ac:dyDescent="0.3">
      <c r="A309">
        <v>384</v>
      </c>
      <c r="B309" t="s">
        <v>62</v>
      </c>
      <c r="C309">
        <v>6</v>
      </c>
      <c r="D309" s="5">
        <v>38186</v>
      </c>
      <c r="E309" t="s">
        <v>67</v>
      </c>
      <c r="F309" s="5">
        <v>5233</v>
      </c>
      <c r="G309">
        <v>62</v>
      </c>
      <c r="H309">
        <v>14.6</v>
      </c>
      <c r="I309">
        <v>0.77554817897665684</v>
      </c>
      <c r="J309">
        <v>0</v>
      </c>
      <c r="M309" s="6"/>
      <c r="S309" t="str">
        <f t="shared" si="2"/>
        <v/>
      </c>
    </row>
    <row r="310" spans="1:19" x14ac:dyDescent="0.3">
      <c r="A310">
        <v>69</v>
      </c>
      <c r="B310" t="s">
        <v>64</v>
      </c>
      <c r="C310">
        <v>4</v>
      </c>
      <c r="D310" s="5">
        <v>17754</v>
      </c>
      <c r="E310" t="s">
        <v>68</v>
      </c>
      <c r="F310" s="5">
        <v>4601</v>
      </c>
      <c r="G310">
        <v>62</v>
      </c>
      <c r="H310">
        <v>7.1</v>
      </c>
      <c r="I310">
        <v>0.4907515466391269</v>
      </c>
      <c r="J310">
        <v>0</v>
      </c>
      <c r="M310" s="6"/>
      <c r="S310" t="str">
        <f t="shared" si="2"/>
        <v/>
      </c>
    </row>
    <row r="311" spans="1:19" x14ac:dyDescent="0.3">
      <c r="A311">
        <v>329</v>
      </c>
      <c r="B311" t="s">
        <v>65</v>
      </c>
      <c r="C311">
        <v>6</v>
      </c>
      <c r="D311" s="5">
        <v>26888</v>
      </c>
      <c r="E311" t="s">
        <v>68</v>
      </c>
      <c r="F311" s="5">
        <v>4495</v>
      </c>
      <c r="G311">
        <v>91</v>
      </c>
      <c r="H311">
        <v>2</v>
      </c>
      <c r="I311">
        <v>9.9748063135930876E-2</v>
      </c>
      <c r="J311">
        <v>0</v>
      </c>
      <c r="M311" s="6"/>
      <c r="S311" t="str">
        <f t="shared" si="2"/>
        <v/>
      </c>
    </row>
    <row r="312" spans="1:19" x14ac:dyDescent="0.3">
      <c r="A312">
        <v>265</v>
      </c>
      <c r="B312" t="s">
        <v>62</v>
      </c>
      <c r="C312">
        <v>8</v>
      </c>
      <c r="D312" s="5">
        <v>31701</v>
      </c>
      <c r="E312" t="s">
        <v>69</v>
      </c>
      <c r="F312" s="5">
        <v>4853</v>
      </c>
      <c r="G312">
        <v>72</v>
      </c>
      <c r="H312">
        <v>10.8</v>
      </c>
      <c r="I312">
        <v>0.89272938652491063</v>
      </c>
      <c r="J312">
        <v>0</v>
      </c>
      <c r="M312" s="6"/>
      <c r="S312" t="str">
        <f t="shared" si="2"/>
        <v/>
      </c>
    </row>
    <row r="313" spans="1:19" x14ac:dyDescent="0.3">
      <c r="A313">
        <v>29</v>
      </c>
      <c r="B313" t="s">
        <v>64</v>
      </c>
      <c r="C313">
        <v>6</v>
      </c>
      <c r="D313" s="5">
        <v>35944</v>
      </c>
      <c r="E313" t="s">
        <v>68</v>
      </c>
      <c r="F313" s="5">
        <v>5487</v>
      </c>
      <c r="G313">
        <v>18</v>
      </c>
      <c r="H313">
        <v>6</v>
      </c>
      <c r="I313">
        <v>0.49464374454017401</v>
      </c>
      <c r="J313">
        <v>0</v>
      </c>
      <c r="M313" s="6"/>
      <c r="S313" t="str">
        <f t="shared" si="2"/>
        <v/>
      </c>
    </row>
    <row r="314" spans="1:19" x14ac:dyDescent="0.3">
      <c r="A314">
        <v>226</v>
      </c>
      <c r="B314" t="s">
        <v>62</v>
      </c>
      <c r="C314">
        <v>5</v>
      </c>
      <c r="D314" s="5">
        <v>25511</v>
      </c>
      <c r="E314" t="s">
        <v>69</v>
      </c>
      <c r="F314" s="5">
        <v>4802</v>
      </c>
      <c r="G314">
        <v>96</v>
      </c>
      <c r="H314">
        <v>12.3</v>
      </c>
      <c r="I314">
        <v>0.61910163948471986</v>
      </c>
      <c r="J314">
        <v>0</v>
      </c>
      <c r="M314" s="6"/>
      <c r="S314" t="str">
        <f t="shared" si="2"/>
        <v/>
      </c>
    </row>
    <row r="315" spans="1:19" x14ac:dyDescent="0.3">
      <c r="A315">
        <v>276</v>
      </c>
      <c r="B315" t="s">
        <v>65</v>
      </c>
      <c r="C315">
        <v>6</v>
      </c>
      <c r="D315" s="5">
        <v>44866</v>
      </c>
      <c r="E315" t="s">
        <v>69</v>
      </c>
      <c r="F315" s="5">
        <v>5981</v>
      </c>
      <c r="G315">
        <v>65</v>
      </c>
      <c r="H315">
        <v>5.8</v>
      </c>
      <c r="I315">
        <v>0.20545488497278808</v>
      </c>
      <c r="J315">
        <v>0</v>
      </c>
      <c r="M315" s="6"/>
      <c r="S315" t="str">
        <f t="shared" si="2"/>
        <v/>
      </c>
    </row>
    <row r="316" spans="1:19" x14ac:dyDescent="0.3">
      <c r="A316">
        <v>289</v>
      </c>
      <c r="B316" t="s">
        <v>63</v>
      </c>
      <c r="C316">
        <v>8</v>
      </c>
      <c r="D316" s="5">
        <v>30093</v>
      </c>
      <c r="E316" t="s">
        <v>69</v>
      </c>
      <c r="F316" s="5">
        <v>6156</v>
      </c>
      <c r="G316">
        <v>32</v>
      </c>
      <c r="H316">
        <v>2.9</v>
      </c>
      <c r="I316">
        <v>0.80401544600175689</v>
      </c>
      <c r="J316">
        <v>0</v>
      </c>
      <c r="M316" s="6"/>
      <c r="S316" t="str">
        <f t="shared" si="2"/>
        <v/>
      </c>
    </row>
    <row r="317" spans="1:19" x14ac:dyDescent="0.3">
      <c r="A317">
        <v>399</v>
      </c>
      <c r="B317" t="s">
        <v>64</v>
      </c>
      <c r="C317">
        <v>8</v>
      </c>
      <c r="D317" s="5">
        <v>37583</v>
      </c>
      <c r="E317" t="s">
        <v>68</v>
      </c>
      <c r="F317" s="5">
        <v>4992</v>
      </c>
      <c r="G317">
        <v>115</v>
      </c>
      <c r="H317">
        <v>7.1</v>
      </c>
      <c r="I317">
        <v>0.94944201399124628</v>
      </c>
      <c r="J317">
        <v>0</v>
      </c>
      <c r="M317" s="6"/>
      <c r="S317" t="str">
        <f t="shared" si="2"/>
        <v/>
      </c>
    </row>
    <row r="318" spans="1:19" x14ac:dyDescent="0.3">
      <c r="A318">
        <v>248</v>
      </c>
      <c r="B318" t="s">
        <v>65</v>
      </c>
      <c r="C318">
        <v>8</v>
      </c>
      <c r="D318" s="5">
        <v>31536</v>
      </c>
      <c r="E318" t="s">
        <v>67</v>
      </c>
      <c r="F318" s="5">
        <v>5837</v>
      </c>
      <c r="G318">
        <v>93</v>
      </c>
      <c r="H318">
        <v>8.6</v>
      </c>
      <c r="I318">
        <v>0.33706586638275249</v>
      </c>
      <c r="J318">
        <v>0</v>
      </c>
      <c r="M318" s="6"/>
      <c r="S318" t="str">
        <f t="shared" si="2"/>
        <v/>
      </c>
    </row>
    <row r="319" spans="1:19" x14ac:dyDescent="0.3">
      <c r="A319">
        <v>370</v>
      </c>
      <c r="B319" t="s">
        <v>64</v>
      </c>
      <c r="C319">
        <v>5</v>
      </c>
      <c r="D319" s="5">
        <v>22133</v>
      </c>
      <c r="E319" t="s">
        <v>68</v>
      </c>
      <c r="F319" s="5">
        <v>4392</v>
      </c>
      <c r="G319">
        <v>117</v>
      </c>
      <c r="H319">
        <v>5.9</v>
      </c>
      <c r="I319">
        <v>0.77546913046762223</v>
      </c>
      <c r="J319">
        <v>0</v>
      </c>
      <c r="M319" s="6"/>
      <c r="S319" t="str">
        <f t="shared" si="2"/>
        <v/>
      </c>
    </row>
    <row r="320" spans="1:19" x14ac:dyDescent="0.3">
      <c r="A320">
        <v>291</v>
      </c>
      <c r="B320" t="s">
        <v>63</v>
      </c>
      <c r="C320">
        <v>2</v>
      </c>
      <c r="D320" s="5">
        <v>32018</v>
      </c>
      <c r="E320" t="s">
        <v>68</v>
      </c>
      <c r="F320" s="5">
        <v>3212</v>
      </c>
      <c r="G320">
        <v>108</v>
      </c>
      <c r="H320">
        <v>1.8</v>
      </c>
      <c r="I320">
        <v>0.98000293745643297</v>
      </c>
      <c r="J320">
        <v>0</v>
      </c>
      <c r="M320" s="6"/>
      <c r="S320" t="str">
        <f t="shared" si="2"/>
        <v/>
      </c>
    </row>
    <row r="321" spans="1:19" x14ac:dyDescent="0.3">
      <c r="A321">
        <v>55</v>
      </c>
      <c r="B321" t="s">
        <v>65</v>
      </c>
      <c r="C321">
        <v>4</v>
      </c>
      <c r="D321" s="5">
        <v>24901</v>
      </c>
      <c r="E321" t="s">
        <v>67</v>
      </c>
      <c r="F321" s="5">
        <v>4087</v>
      </c>
      <c r="G321">
        <v>33</v>
      </c>
      <c r="H321">
        <v>5.8</v>
      </c>
      <c r="I321">
        <v>0.71326646588910714</v>
      </c>
      <c r="J321">
        <v>0</v>
      </c>
      <c r="M321" s="6"/>
      <c r="S321" t="str">
        <f t="shared" si="2"/>
        <v/>
      </c>
    </row>
    <row r="322" spans="1:19" x14ac:dyDescent="0.3">
      <c r="A322">
        <v>275</v>
      </c>
      <c r="B322" t="s">
        <v>65</v>
      </c>
      <c r="C322">
        <v>5</v>
      </c>
      <c r="D322" s="5">
        <v>31799</v>
      </c>
      <c r="E322" t="s">
        <v>68</v>
      </c>
      <c r="F322" s="5">
        <v>5392</v>
      </c>
      <c r="G322">
        <v>56</v>
      </c>
      <c r="H322">
        <v>4.8</v>
      </c>
      <c r="I322">
        <v>0.1747747415017703</v>
      </c>
      <c r="J322">
        <v>0</v>
      </c>
      <c r="M322" s="6"/>
      <c r="S322" t="str">
        <f t="shared" si="2"/>
        <v/>
      </c>
    </row>
    <row r="323" spans="1:19" x14ac:dyDescent="0.3">
      <c r="A323">
        <v>227</v>
      </c>
      <c r="B323" t="s">
        <v>62</v>
      </c>
      <c r="C323">
        <v>5</v>
      </c>
      <c r="D323" s="5">
        <v>14497</v>
      </c>
      <c r="E323" t="s">
        <v>68</v>
      </c>
      <c r="F323" s="5">
        <v>3888</v>
      </c>
      <c r="G323">
        <v>37</v>
      </c>
      <c r="H323">
        <v>14.6</v>
      </c>
      <c r="I323">
        <v>0.52447976535151219</v>
      </c>
      <c r="J323">
        <v>0</v>
      </c>
      <c r="M323" s="6"/>
      <c r="S323" t="str">
        <f t="shared" si="2"/>
        <v/>
      </c>
    </row>
    <row r="324" spans="1:19" x14ac:dyDescent="0.3">
      <c r="A324">
        <v>31</v>
      </c>
      <c r="B324" t="s">
        <v>65</v>
      </c>
      <c r="C324">
        <v>3</v>
      </c>
      <c r="D324" s="5">
        <v>44305</v>
      </c>
      <c r="E324" t="s">
        <v>69</v>
      </c>
      <c r="F324" s="5">
        <v>5126</v>
      </c>
      <c r="G324">
        <v>77</v>
      </c>
      <c r="H324">
        <v>10.1</v>
      </c>
      <c r="I324">
        <v>8.3632706704044546E-2</v>
      </c>
      <c r="J324">
        <v>0</v>
      </c>
      <c r="M324" s="6"/>
      <c r="S324" t="str">
        <f t="shared" si="2"/>
        <v/>
      </c>
    </row>
    <row r="325" spans="1:19" x14ac:dyDescent="0.3">
      <c r="A325">
        <v>192</v>
      </c>
      <c r="B325" t="s">
        <v>65</v>
      </c>
      <c r="C325">
        <v>4</v>
      </c>
      <c r="D325" s="5">
        <v>30548</v>
      </c>
      <c r="E325" t="s">
        <v>68</v>
      </c>
      <c r="F325" s="5">
        <v>5591</v>
      </c>
      <c r="G325">
        <v>16</v>
      </c>
      <c r="H325">
        <v>3.7</v>
      </c>
      <c r="I325">
        <v>0.899983414113257</v>
      </c>
      <c r="J325">
        <v>0</v>
      </c>
      <c r="M325" s="6"/>
      <c r="S325" t="str">
        <f t="shared" si="2"/>
        <v/>
      </c>
    </row>
    <row r="326" spans="1:19" x14ac:dyDescent="0.3">
      <c r="A326">
        <v>103</v>
      </c>
      <c r="B326" t="s">
        <v>64</v>
      </c>
      <c r="C326">
        <v>5</v>
      </c>
      <c r="D326" s="5">
        <v>26065</v>
      </c>
      <c r="E326" t="s">
        <v>69</v>
      </c>
      <c r="F326" s="5">
        <v>3670</v>
      </c>
      <c r="G326">
        <v>102</v>
      </c>
      <c r="H326">
        <v>10.1</v>
      </c>
      <c r="I326">
        <v>0.39486670638603971</v>
      </c>
      <c r="J326">
        <v>0</v>
      </c>
      <c r="M326" s="6"/>
      <c r="S326" t="str">
        <f t="shared" si="2"/>
        <v/>
      </c>
    </row>
    <row r="327" spans="1:19" x14ac:dyDescent="0.3">
      <c r="A327">
        <v>262</v>
      </c>
      <c r="B327" t="s">
        <v>65</v>
      </c>
      <c r="C327">
        <v>7</v>
      </c>
      <c r="D327" s="5">
        <v>30876</v>
      </c>
      <c r="E327" t="s">
        <v>68</v>
      </c>
      <c r="F327" s="5">
        <v>5231</v>
      </c>
      <c r="G327">
        <v>28</v>
      </c>
      <c r="H327">
        <v>1.9</v>
      </c>
      <c r="I327">
        <v>0.30390513584810175</v>
      </c>
      <c r="J327">
        <v>0</v>
      </c>
      <c r="M327" s="6"/>
      <c r="S327" t="str">
        <f t="shared" ref="S327:S390" si="3">IF($J327=1,D327,"")</f>
        <v/>
      </c>
    </row>
    <row r="328" spans="1:19" x14ac:dyDescent="0.3">
      <c r="A328">
        <v>186</v>
      </c>
      <c r="B328" t="s">
        <v>63</v>
      </c>
      <c r="C328">
        <v>8</v>
      </c>
      <c r="D328" s="5">
        <v>38669</v>
      </c>
      <c r="E328" t="s">
        <v>68</v>
      </c>
      <c r="F328" s="5">
        <v>6680</v>
      </c>
      <c r="G328">
        <v>50</v>
      </c>
      <c r="H328">
        <v>0.5</v>
      </c>
      <c r="I328">
        <v>0.10377658941733148</v>
      </c>
      <c r="J328">
        <v>0</v>
      </c>
      <c r="M328" s="6"/>
      <c r="S328" t="str">
        <f t="shared" si="3"/>
        <v/>
      </c>
    </row>
    <row r="329" spans="1:19" x14ac:dyDescent="0.3">
      <c r="A329">
        <v>256</v>
      </c>
      <c r="B329" t="s">
        <v>64</v>
      </c>
      <c r="C329">
        <v>4</v>
      </c>
      <c r="D329" s="5">
        <v>27229</v>
      </c>
      <c r="E329" t="s">
        <v>68</v>
      </c>
      <c r="F329" s="5">
        <v>3640</v>
      </c>
      <c r="G329">
        <v>48</v>
      </c>
      <c r="H329">
        <v>9.5</v>
      </c>
      <c r="I329">
        <v>0.10298883225487199</v>
      </c>
      <c r="J329">
        <v>0</v>
      </c>
      <c r="M329" s="6"/>
      <c r="S329" t="str">
        <f t="shared" si="3"/>
        <v/>
      </c>
    </row>
    <row r="330" spans="1:19" x14ac:dyDescent="0.3">
      <c r="A330">
        <v>60</v>
      </c>
      <c r="B330" t="s">
        <v>63</v>
      </c>
      <c r="C330">
        <v>3</v>
      </c>
      <c r="D330" s="5">
        <v>25365</v>
      </c>
      <c r="E330" t="s">
        <v>68</v>
      </c>
      <c r="F330" s="5">
        <v>4202</v>
      </c>
      <c r="G330">
        <v>47</v>
      </c>
      <c r="H330">
        <v>8.9</v>
      </c>
      <c r="I330">
        <v>0.72548851212292498</v>
      </c>
      <c r="J330">
        <v>0</v>
      </c>
      <c r="M330" s="6"/>
      <c r="S330" t="str">
        <f t="shared" si="3"/>
        <v/>
      </c>
    </row>
    <row r="331" spans="1:19" x14ac:dyDescent="0.3">
      <c r="A331">
        <v>284</v>
      </c>
      <c r="B331" t="s">
        <v>65</v>
      </c>
      <c r="C331">
        <v>7</v>
      </c>
      <c r="D331" s="5">
        <v>38779</v>
      </c>
      <c r="E331" t="s">
        <v>68</v>
      </c>
      <c r="F331" s="5">
        <v>5541</v>
      </c>
      <c r="G331">
        <v>86</v>
      </c>
      <c r="H331">
        <v>10.5</v>
      </c>
      <c r="I331">
        <v>0.68029303607091607</v>
      </c>
      <c r="J331">
        <v>0</v>
      </c>
      <c r="M331" s="6"/>
      <c r="S331" t="str">
        <f t="shared" si="3"/>
        <v/>
      </c>
    </row>
    <row r="332" spans="1:19" x14ac:dyDescent="0.3">
      <c r="A332">
        <v>317</v>
      </c>
      <c r="B332" t="s">
        <v>62</v>
      </c>
      <c r="C332">
        <v>8</v>
      </c>
      <c r="D332" s="5">
        <v>24467</v>
      </c>
      <c r="E332" t="s">
        <v>69</v>
      </c>
      <c r="F332" s="5">
        <v>6594</v>
      </c>
      <c r="G332">
        <v>72</v>
      </c>
      <c r="H332">
        <v>8</v>
      </c>
      <c r="I332">
        <v>0.20553359022217876</v>
      </c>
      <c r="J332">
        <v>0</v>
      </c>
      <c r="M332" s="6"/>
      <c r="S332" t="str">
        <f t="shared" si="3"/>
        <v/>
      </c>
    </row>
    <row r="333" spans="1:19" x14ac:dyDescent="0.3">
      <c r="A333">
        <v>347</v>
      </c>
      <c r="B333" t="s">
        <v>65</v>
      </c>
      <c r="C333">
        <v>4</v>
      </c>
      <c r="D333" s="5">
        <v>29244</v>
      </c>
      <c r="E333" t="s">
        <v>69</v>
      </c>
      <c r="F333" s="5">
        <v>4850</v>
      </c>
      <c r="G333">
        <v>18</v>
      </c>
      <c r="H333">
        <v>9.6</v>
      </c>
      <c r="I333">
        <v>0.8008590988340174</v>
      </c>
      <c r="J333">
        <v>0</v>
      </c>
      <c r="M333" s="6"/>
      <c r="S333" t="str">
        <f t="shared" si="3"/>
        <v/>
      </c>
    </row>
    <row r="334" spans="1:19" x14ac:dyDescent="0.3">
      <c r="A334">
        <v>126</v>
      </c>
      <c r="B334" t="s">
        <v>64</v>
      </c>
      <c r="C334">
        <v>8</v>
      </c>
      <c r="D334" s="5">
        <v>45177</v>
      </c>
      <c r="E334" t="s">
        <v>66</v>
      </c>
      <c r="F334" s="5">
        <v>4914</v>
      </c>
      <c r="G334">
        <v>41</v>
      </c>
      <c r="H334">
        <v>13.5</v>
      </c>
      <c r="I334">
        <v>0.93183234477023091</v>
      </c>
      <c r="J334">
        <v>0</v>
      </c>
      <c r="M334" s="6"/>
      <c r="S334" t="str">
        <f t="shared" si="3"/>
        <v/>
      </c>
    </row>
    <row r="335" spans="1:19" x14ac:dyDescent="0.3">
      <c r="A335">
        <v>359</v>
      </c>
      <c r="B335" t="s">
        <v>64</v>
      </c>
      <c r="C335">
        <v>8</v>
      </c>
      <c r="D335" s="5">
        <v>38279</v>
      </c>
      <c r="E335" t="s">
        <v>68</v>
      </c>
      <c r="F335" s="5">
        <v>7066</v>
      </c>
      <c r="G335">
        <v>15</v>
      </c>
      <c r="H335">
        <v>3.5</v>
      </c>
      <c r="I335">
        <v>0.64370977363356108</v>
      </c>
      <c r="J335">
        <v>0</v>
      </c>
      <c r="M335" s="6"/>
      <c r="S335" t="str">
        <f t="shared" si="3"/>
        <v/>
      </c>
    </row>
    <row r="336" spans="1:19" x14ac:dyDescent="0.3">
      <c r="A336">
        <v>279</v>
      </c>
      <c r="B336" t="s">
        <v>64</v>
      </c>
      <c r="C336">
        <v>2</v>
      </c>
      <c r="D336" s="5">
        <v>35927</v>
      </c>
      <c r="E336" t="s">
        <v>68</v>
      </c>
      <c r="F336" s="5">
        <v>4303</v>
      </c>
      <c r="G336">
        <v>64</v>
      </c>
      <c r="H336">
        <v>8.8000000000000007</v>
      </c>
      <c r="I336">
        <v>0.58816626540745964</v>
      </c>
      <c r="J336">
        <v>0</v>
      </c>
      <c r="M336" s="6"/>
      <c r="S336" t="str">
        <f t="shared" si="3"/>
        <v/>
      </c>
    </row>
    <row r="337" spans="1:19" x14ac:dyDescent="0.3">
      <c r="A337">
        <v>302</v>
      </c>
      <c r="B337" t="s">
        <v>62</v>
      </c>
      <c r="C337">
        <v>5</v>
      </c>
      <c r="D337" s="5">
        <v>36703</v>
      </c>
      <c r="E337" t="s">
        <v>69</v>
      </c>
      <c r="F337" s="5">
        <v>4168</v>
      </c>
      <c r="G337">
        <v>25</v>
      </c>
      <c r="H337">
        <v>0.8</v>
      </c>
      <c r="I337">
        <v>0.10486754557674083</v>
      </c>
      <c r="J337">
        <v>0</v>
      </c>
      <c r="M337" s="6"/>
      <c r="S337" t="str">
        <f t="shared" si="3"/>
        <v/>
      </c>
    </row>
    <row r="338" spans="1:19" x14ac:dyDescent="0.3">
      <c r="A338">
        <v>94</v>
      </c>
      <c r="B338" t="s">
        <v>65</v>
      </c>
      <c r="C338">
        <v>4</v>
      </c>
      <c r="D338" s="5">
        <v>33600</v>
      </c>
      <c r="E338" t="s">
        <v>69</v>
      </c>
      <c r="F338" s="5">
        <v>4408</v>
      </c>
      <c r="G338">
        <v>94</v>
      </c>
      <c r="H338">
        <v>8.3000000000000007</v>
      </c>
      <c r="I338">
        <v>0.80155930839095368</v>
      </c>
      <c r="J338">
        <v>0</v>
      </c>
      <c r="M338" s="6"/>
      <c r="S338" t="str">
        <f t="shared" si="3"/>
        <v/>
      </c>
    </row>
    <row r="339" spans="1:19" x14ac:dyDescent="0.3">
      <c r="A339">
        <v>48</v>
      </c>
      <c r="B339" t="s">
        <v>65</v>
      </c>
      <c r="C339">
        <v>3</v>
      </c>
      <c r="D339" s="5">
        <v>14671</v>
      </c>
      <c r="E339" t="s">
        <v>67</v>
      </c>
      <c r="F339" s="5">
        <v>5148</v>
      </c>
      <c r="G339">
        <v>28</v>
      </c>
      <c r="H339">
        <v>8.1999999999999993</v>
      </c>
      <c r="I339">
        <v>0.70945180156421384</v>
      </c>
      <c r="J339">
        <v>0</v>
      </c>
      <c r="M339" s="6"/>
      <c r="S339" t="str">
        <f t="shared" si="3"/>
        <v/>
      </c>
    </row>
    <row r="340" spans="1:19" x14ac:dyDescent="0.3">
      <c r="A340">
        <v>238</v>
      </c>
      <c r="B340" t="s">
        <v>63</v>
      </c>
      <c r="C340">
        <v>4</v>
      </c>
      <c r="D340" s="5">
        <v>3715</v>
      </c>
      <c r="E340" t="s">
        <v>68</v>
      </c>
      <c r="F340" s="5">
        <v>3635</v>
      </c>
      <c r="G340">
        <v>64</v>
      </c>
      <c r="H340">
        <v>11.9</v>
      </c>
      <c r="I340">
        <v>0.20774045027188526</v>
      </c>
      <c r="J340">
        <v>0</v>
      </c>
      <c r="M340" s="6"/>
      <c r="S340" t="str">
        <f t="shared" si="3"/>
        <v/>
      </c>
    </row>
    <row r="341" spans="1:19" x14ac:dyDescent="0.3">
      <c r="A341">
        <v>108</v>
      </c>
      <c r="B341" t="s">
        <v>65</v>
      </c>
      <c r="C341">
        <v>8</v>
      </c>
      <c r="D341" s="5">
        <v>23401</v>
      </c>
      <c r="E341" t="s">
        <v>67</v>
      </c>
      <c r="F341" s="5">
        <v>5441</v>
      </c>
      <c r="G341">
        <v>120</v>
      </c>
      <c r="H341">
        <v>1</v>
      </c>
      <c r="I341">
        <v>0.65224057957557557</v>
      </c>
      <c r="J341">
        <v>0</v>
      </c>
      <c r="M341" s="6"/>
      <c r="S341" t="str">
        <f t="shared" si="3"/>
        <v/>
      </c>
    </row>
    <row r="342" spans="1:19" x14ac:dyDescent="0.3">
      <c r="A342">
        <v>99</v>
      </c>
      <c r="B342" t="s">
        <v>63</v>
      </c>
      <c r="C342">
        <v>8</v>
      </c>
      <c r="D342" s="5">
        <v>22074</v>
      </c>
      <c r="E342" t="s">
        <v>68</v>
      </c>
      <c r="F342" s="5">
        <v>5760</v>
      </c>
      <c r="G342">
        <v>74</v>
      </c>
      <c r="H342">
        <v>0.9</v>
      </c>
      <c r="I342">
        <v>0.66370939849939059</v>
      </c>
      <c r="J342">
        <v>0</v>
      </c>
      <c r="M342" s="6"/>
      <c r="S342" t="str">
        <f t="shared" si="3"/>
        <v/>
      </c>
    </row>
    <row r="343" spans="1:19" x14ac:dyDescent="0.3">
      <c r="A343">
        <v>72</v>
      </c>
      <c r="B343" t="s">
        <v>65</v>
      </c>
      <c r="C343">
        <v>8</v>
      </c>
      <c r="D343" s="5">
        <v>29418</v>
      </c>
      <c r="E343" t="s">
        <v>67</v>
      </c>
      <c r="F343" s="5">
        <v>5020</v>
      </c>
      <c r="G343">
        <v>110</v>
      </c>
      <c r="H343">
        <v>6.2</v>
      </c>
      <c r="I343">
        <v>0.62626107657938768</v>
      </c>
      <c r="J343">
        <v>0</v>
      </c>
      <c r="M343" s="6"/>
      <c r="S343" t="str">
        <f t="shared" si="3"/>
        <v/>
      </c>
    </row>
    <row r="344" spans="1:19" x14ac:dyDescent="0.3">
      <c r="A344">
        <v>225</v>
      </c>
      <c r="B344" t="s">
        <v>65</v>
      </c>
      <c r="C344">
        <v>5</v>
      </c>
      <c r="D344" s="5">
        <v>17342</v>
      </c>
      <c r="E344" t="s">
        <v>66</v>
      </c>
      <c r="F344" s="5">
        <v>4842</v>
      </c>
      <c r="G344">
        <v>98</v>
      </c>
      <c r="H344">
        <v>1.5</v>
      </c>
      <c r="I344">
        <v>0.31433050815456487</v>
      </c>
      <c r="J344">
        <v>0</v>
      </c>
      <c r="M344" s="6"/>
      <c r="S344" t="str">
        <f t="shared" si="3"/>
        <v/>
      </c>
    </row>
    <row r="345" spans="1:19" x14ac:dyDescent="0.3">
      <c r="A345">
        <v>241</v>
      </c>
      <c r="B345" t="s">
        <v>62</v>
      </c>
      <c r="C345">
        <v>5</v>
      </c>
      <c r="D345" s="5">
        <v>23752</v>
      </c>
      <c r="E345" t="s">
        <v>67</v>
      </c>
      <c r="F345" s="5">
        <v>5249</v>
      </c>
      <c r="G345">
        <v>93</v>
      </c>
      <c r="H345">
        <v>10.6</v>
      </c>
      <c r="I345">
        <v>0.77966432234490812</v>
      </c>
      <c r="J345">
        <v>0</v>
      </c>
      <c r="M345" s="6"/>
      <c r="S345" t="str">
        <f t="shared" si="3"/>
        <v/>
      </c>
    </row>
    <row r="346" spans="1:19" x14ac:dyDescent="0.3">
      <c r="A346">
        <v>271</v>
      </c>
      <c r="B346" t="s">
        <v>63</v>
      </c>
      <c r="C346">
        <v>8</v>
      </c>
      <c r="D346" s="5">
        <v>23333</v>
      </c>
      <c r="E346" t="s">
        <v>69</v>
      </c>
      <c r="F346" s="5">
        <v>4930</v>
      </c>
      <c r="G346">
        <v>100</v>
      </c>
      <c r="H346">
        <v>7.9</v>
      </c>
      <c r="I346">
        <v>0.68276322260526134</v>
      </c>
      <c r="J346">
        <v>0</v>
      </c>
      <c r="M346" s="6"/>
      <c r="S346" t="str">
        <f t="shared" si="3"/>
        <v/>
      </c>
    </row>
    <row r="347" spans="1:19" x14ac:dyDescent="0.3">
      <c r="A347">
        <v>14</v>
      </c>
      <c r="B347" t="s">
        <v>62</v>
      </c>
      <c r="C347">
        <v>8</v>
      </c>
      <c r="D347" s="5">
        <v>13803</v>
      </c>
      <c r="E347" t="s">
        <v>66</v>
      </c>
      <c r="F347" s="5">
        <v>5220</v>
      </c>
      <c r="G347">
        <v>55</v>
      </c>
      <c r="H347">
        <v>12.9</v>
      </c>
      <c r="I347">
        <v>5.3657909638612944E-2</v>
      </c>
      <c r="J347">
        <v>0</v>
      </c>
      <c r="M347" s="6"/>
      <c r="S347" t="str">
        <f t="shared" si="3"/>
        <v/>
      </c>
    </row>
    <row r="348" spans="1:19" x14ac:dyDescent="0.3">
      <c r="A348">
        <v>269</v>
      </c>
      <c r="B348" t="s">
        <v>65</v>
      </c>
      <c r="C348">
        <v>6</v>
      </c>
      <c r="D348" s="5">
        <v>31238</v>
      </c>
      <c r="E348" t="s">
        <v>68</v>
      </c>
      <c r="F348" s="5">
        <v>6086</v>
      </c>
      <c r="G348">
        <v>79</v>
      </c>
      <c r="H348">
        <v>2.4</v>
      </c>
      <c r="I348">
        <v>0.32407132901001956</v>
      </c>
      <c r="J348">
        <v>0</v>
      </c>
      <c r="M348" s="6"/>
      <c r="S348" t="str">
        <f t="shared" si="3"/>
        <v/>
      </c>
    </row>
    <row r="349" spans="1:19" x14ac:dyDescent="0.3">
      <c r="A349">
        <v>144</v>
      </c>
      <c r="B349" t="s">
        <v>63</v>
      </c>
      <c r="C349">
        <v>3</v>
      </c>
      <c r="D349" s="5">
        <v>37224</v>
      </c>
      <c r="E349" t="s">
        <v>68</v>
      </c>
      <c r="F349" s="5">
        <v>3735</v>
      </c>
      <c r="G349">
        <v>28</v>
      </c>
      <c r="H349">
        <v>4.5999999999999996</v>
      </c>
      <c r="I349">
        <v>0.94544445743582739</v>
      </c>
      <c r="J349">
        <v>0</v>
      </c>
      <c r="M349" s="6"/>
      <c r="S349" t="str">
        <f t="shared" si="3"/>
        <v/>
      </c>
    </row>
    <row r="350" spans="1:19" x14ac:dyDescent="0.3">
      <c r="A350">
        <v>112</v>
      </c>
      <c r="B350" t="s">
        <v>62</v>
      </c>
      <c r="C350">
        <v>8</v>
      </c>
      <c r="D350" s="5">
        <v>23441</v>
      </c>
      <c r="E350" t="s">
        <v>66</v>
      </c>
      <c r="F350" s="5">
        <v>5305</v>
      </c>
      <c r="G350">
        <v>95</v>
      </c>
      <c r="H350">
        <v>1.9</v>
      </c>
      <c r="I350">
        <v>0.14005493289039994</v>
      </c>
      <c r="J350">
        <v>0</v>
      </c>
      <c r="M350" s="6"/>
      <c r="S350" t="str">
        <f t="shared" si="3"/>
        <v/>
      </c>
    </row>
    <row r="351" spans="1:19" x14ac:dyDescent="0.3">
      <c r="A351">
        <v>325</v>
      </c>
      <c r="B351" t="s">
        <v>62</v>
      </c>
      <c r="C351">
        <v>2</v>
      </c>
      <c r="D351" s="5">
        <v>19922</v>
      </c>
      <c r="E351" t="s">
        <v>68</v>
      </c>
      <c r="F351" s="5">
        <v>4208</v>
      </c>
      <c r="G351">
        <v>98</v>
      </c>
      <c r="H351">
        <v>11.5</v>
      </c>
      <c r="I351">
        <v>0.76976155241854149</v>
      </c>
      <c r="J351">
        <v>0</v>
      </c>
      <c r="M351" s="6"/>
      <c r="S351" t="str">
        <f t="shared" si="3"/>
        <v/>
      </c>
    </row>
    <row r="352" spans="1:19" x14ac:dyDescent="0.3">
      <c r="A352">
        <v>124</v>
      </c>
      <c r="B352" t="s">
        <v>64</v>
      </c>
      <c r="C352">
        <v>2</v>
      </c>
      <c r="D352" s="5">
        <v>17220</v>
      </c>
      <c r="E352" t="s">
        <v>68</v>
      </c>
      <c r="F352" s="5">
        <v>2893</v>
      </c>
      <c r="G352">
        <v>103</v>
      </c>
      <c r="H352">
        <v>7.9</v>
      </c>
      <c r="I352">
        <v>0.92148572261003059</v>
      </c>
      <c r="J352">
        <v>0</v>
      </c>
      <c r="M352" s="6"/>
      <c r="S352" t="str">
        <f t="shared" si="3"/>
        <v/>
      </c>
    </row>
    <row r="353" spans="1:19" x14ac:dyDescent="0.3">
      <c r="A353">
        <v>367</v>
      </c>
      <c r="B353" t="s">
        <v>65</v>
      </c>
      <c r="C353">
        <v>7</v>
      </c>
      <c r="D353" s="5">
        <v>24705</v>
      </c>
      <c r="E353" t="s">
        <v>68</v>
      </c>
      <c r="F353" s="5">
        <v>6624</v>
      </c>
      <c r="G353">
        <v>33</v>
      </c>
      <c r="H353">
        <v>3.4</v>
      </c>
      <c r="I353">
        <v>0.46019708246707935</v>
      </c>
      <c r="J353">
        <v>0</v>
      </c>
      <c r="M353" s="6"/>
      <c r="S353" t="str">
        <f t="shared" si="3"/>
        <v/>
      </c>
    </row>
    <row r="354" spans="1:19" x14ac:dyDescent="0.3">
      <c r="A354">
        <v>180</v>
      </c>
      <c r="B354" t="s">
        <v>65</v>
      </c>
      <c r="C354">
        <v>7</v>
      </c>
      <c r="D354" s="5">
        <v>16006</v>
      </c>
      <c r="E354" t="s">
        <v>67</v>
      </c>
      <c r="F354" s="5">
        <v>5727</v>
      </c>
      <c r="G354">
        <v>60</v>
      </c>
      <c r="H354">
        <v>5.6</v>
      </c>
      <c r="I354">
        <v>0.84024403002567716</v>
      </c>
      <c r="J354">
        <v>0</v>
      </c>
      <c r="M354" s="6"/>
      <c r="S354" t="str">
        <f t="shared" si="3"/>
        <v/>
      </c>
    </row>
    <row r="355" spans="1:19" x14ac:dyDescent="0.3">
      <c r="A355">
        <v>386</v>
      </c>
      <c r="B355" t="s">
        <v>63</v>
      </c>
      <c r="C355">
        <v>4</v>
      </c>
      <c r="D355" s="5">
        <v>19913</v>
      </c>
      <c r="E355" t="s">
        <v>66</v>
      </c>
      <c r="F355" s="5">
        <v>4740</v>
      </c>
      <c r="G355">
        <v>69</v>
      </c>
      <c r="H355">
        <v>4.8</v>
      </c>
      <c r="I355">
        <v>0.68106213790238612</v>
      </c>
      <c r="J355">
        <v>0</v>
      </c>
      <c r="M355" s="6"/>
      <c r="S355" t="str">
        <f t="shared" si="3"/>
        <v/>
      </c>
    </row>
    <row r="356" spans="1:19" x14ac:dyDescent="0.3">
      <c r="A356">
        <v>7</v>
      </c>
      <c r="B356" t="s">
        <v>63</v>
      </c>
      <c r="C356">
        <v>6</v>
      </c>
      <c r="D356" s="5">
        <v>31452</v>
      </c>
      <c r="E356" t="s">
        <v>67</v>
      </c>
      <c r="F356" s="5">
        <v>5519</v>
      </c>
      <c r="G356">
        <v>23</v>
      </c>
      <c r="H356">
        <v>14.5</v>
      </c>
      <c r="I356">
        <v>0.39114612143537419</v>
      </c>
      <c r="J356">
        <v>0</v>
      </c>
      <c r="M356" s="6"/>
      <c r="S356" t="str">
        <f t="shared" si="3"/>
        <v/>
      </c>
    </row>
    <row r="357" spans="1:19" x14ac:dyDescent="0.3">
      <c r="A357">
        <v>58</v>
      </c>
      <c r="B357" t="s">
        <v>63</v>
      </c>
      <c r="C357">
        <v>3</v>
      </c>
      <c r="D357" s="5">
        <v>34961</v>
      </c>
      <c r="E357" t="s">
        <v>69</v>
      </c>
      <c r="F357" s="5">
        <v>3416</v>
      </c>
      <c r="G357">
        <v>38</v>
      </c>
      <c r="H357">
        <v>6.9</v>
      </c>
      <c r="I357">
        <v>0.75222691005600451</v>
      </c>
      <c r="J357">
        <v>0</v>
      </c>
      <c r="M357" s="6"/>
      <c r="S357" t="str">
        <f t="shared" si="3"/>
        <v/>
      </c>
    </row>
    <row r="358" spans="1:19" x14ac:dyDescent="0.3">
      <c r="A358">
        <v>54</v>
      </c>
      <c r="B358" t="s">
        <v>63</v>
      </c>
      <c r="C358">
        <v>6</v>
      </c>
      <c r="D358" s="5">
        <v>34741</v>
      </c>
      <c r="E358" t="s">
        <v>68</v>
      </c>
      <c r="F358" s="5">
        <v>5460</v>
      </c>
      <c r="G358">
        <v>22</v>
      </c>
      <c r="H358">
        <v>11.9</v>
      </c>
      <c r="I358">
        <v>0.46313360843080176</v>
      </c>
      <c r="J358">
        <v>0</v>
      </c>
      <c r="M358" s="6"/>
      <c r="S358" t="str">
        <f t="shared" si="3"/>
        <v/>
      </c>
    </row>
    <row r="359" spans="1:19" x14ac:dyDescent="0.3">
      <c r="A359">
        <v>91</v>
      </c>
      <c r="B359" t="s">
        <v>65</v>
      </c>
      <c r="C359">
        <v>3</v>
      </c>
      <c r="D359" s="5">
        <v>25366</v>
      </c>
      <c r="E359" t="s">
        <v>67</v>
      </c>
      <c r="F359" s="5">
        <v>4375</v>
      </c>
      <c r="G359">
        <v>62</v>
      </c>
      <c r="H359">
        <v>7.6</v>
      </c>
      <c r="I359">
        <v>0.91244392956248244</v>
      </c>
      <c r="J359">
        <v>0</v>
      </c>
      <c r="M359" s="6"/>
      <c r="S359" t="str">
        <f t="shared" si="3"/>
        <v/>
      </c>
    </row>
    <row r="360" spans="1:19" x14ac:dyDescent="0.3">
      <c r="A360">
        <v>87</v>
      </c>
      <c r="B360" t="s">
        <v>64</v>
      </c>
      <c r="C360">
        <v>8</v>
      </c>
      <c r="D360" s="5">
        <v>24105</v>
      </c>
      <c r="E360" t="s">
        <v>68</v>
      </c>
      <c r="F360" s="5">
        <v>5442</v>
      </c>
      <c r="G360">
        <v>66</v>
      </c>
      <c r="H360">
        <v>11.1</v>
      </c>
      <c r="I360">
        <v>0.79518130887116789</v>
      </c>
      <c r="J360">
        <v>0</v>
      </c>
      <c r="M360" s="6"/>
      <c r="S360" t="str">
        <f t="shared" si="3"/>
        <v/>
      </c>
    </row>
    <row r="361" spans="1:19" x14ac:dyDescent="0.3">
      <c r="A361">
        <v>242</v>
      </c>
      <c r="B361" t="s">
        <v>63</v>
      </c>
      <c r="C361">
        <v>7</v>
      </c>
      <c r="D361" s="5">
        <v>24511</v>
      </c>
      <c r="E361" t="s">
        <v>69</v>
      </c>
      <c r="F361" s="5">
        <v>4511</v>
      </c>
      <c r="G361">
        <v>37</v>
      </c>
      <c r="H361">
        <v>8.3000000000000007</v>
      </c>
      <c r="I361">
        <v>0.6580264386760325</v>
      </c>
      <c r="J361">
        <v>0</v>
      </c>
      <c r="M361" s="6"/>
      <c r="S361" t="str">
        <f t="shared" si="3"/>
        <v/>
      </c>
    </row>
    <row r="362" spans="1:19" x14ac:dyDescent="0.3">
      <c r="A362">
        <v>344</v>
      </c>
      <c r="B362" t="s">
        <v>63</v>
      </c>
      <c r="C362">
        <v>8</v>
      </c>
      <c r="D362" s="5">
        <v>41733</v>
      </c>
      <c r="E362" t="s">
        <v>69</v>
      </c>
      <c r="F362" s="5">
        <v>5789</v>
      </c>
      <c r="G362">
        <v>60</v>
      </c>
      <c r="H362">
        <v>7.4</v>
      </c>
      <c r="I362">
        <v>0.87935260951844396</v>
      </c>
      <c r="J362">
        <v>0</v>
      </c>
      <c r="M362" s="6"/>
      <c r="S362" t="str">
        <f t="shared" si="3"/>
        <v/>
      </c>
    </row>
    <row r="363" spans="1:19" x14ac:dyDescent="0.3">
      <c r="A363">
        <v>156</v>
      </c>
      <c r="B363" t="s">
        <v>64</v>
      </c>
      <c r="C363">
        <v>8</v>
      </c>
      <c r="D363" s="5">
        <v>24973</v>
      </c>
      <c r="E363" t="s">
        <v>68</v>
      </c>
      <c r="F363" s="5">
        <v>6839</v>
      </c>
      <c r="G363">
        <v>104</v>
      </c>
      <c r="H363">
        <v>5.0999999999999996</v>
      </c>
      <c r="I363">
        <v>0.36759197061092219</v>
      </c>
      <c r="J363">
        <v>0</v>
      </c>
      <c r="M363" s="6"/>
      <c r="S363" t="str">
        <f t="shared" si="3"/>
        <v/>
      </c>
    </row>
    <row r="364" spans="1:19" x14ac:dyDescent="0.3">
      <c r="A364">
        <v>134</v>
      </c>
      <c r="B364" t="s">
        <v>65</v>
      </c>
      <c r="C364">
        <v>3</v>
      </c>
      <c r="D364" s="5">
        <v>31597</v>
      </c>
      <c r="E364" t="s">
        <v>68</v>
      </c>
      <c r="F364" s="5">
        <v>3708</v>
      </c>
      <c r="G364">
        <v>59</v>
      </c>
      <c r="H364">
        <v>6.9</v>
      </c>
      <c r="I364">
        <v>0.50797439105171516</v>
      </c>
      <c r="J364">
        <v>0</v>
      </c>
      <c r="M364" s="6"/>
      <c r="S364" t="str">
        <f t="shared" si="3"/>
        <v/>
      </c>
    </row>
    <row r="365" spans="1:19" x14ac:dyDescent="0.3">
      <c r="A365">
        <v>200</v>
      </c>
      <c r="B365" t="s">
        <v>62</v>
      </c>
      <c r="C365">
        <v>3</v>
      </c>
      <c r="D365" s="5">
        <v>25429</v>
      </c>
      <c r="E365" t="s">
        <v>68</v>
      </c>
      <c r="F365" s="5">
        <v>4545</v>
      </c>
      <c r="G365">
        <v>94</v>
      </c>
      <c r="H365">
        <v>1.4</v>
      </c>
      <c r="I365">
        <v>0.64308477463066904</v>
      </c>
      <c r="J365">
        <v>0</v>
      </c>
      <c r="M365" s="6"/>
      <c r="S365" t="str">
        <f t="shared" si="3"/>
        <v/>
      </c>
    </row>
    <row r="366" spans="1:19" x14ac:dyDescent="0.3">
      <c r="A366">
        <v>274</v>
      </c>
      <c r="B366" t="s">
        <v>65</v>
      </c>
      <c r="C366">
        <v>2</v>
      </c>
      <c r="D366" s="5">
        <v>36595</v>
      </c>
      <c r="E366" t="s">
        <v>68</v>
      </c>
      <c r="F366" s="5">
        <v>3420</v>
      </c>
      <c r="G366">
        <v>43</v>
      </c>
      <c r="H366">
        <v>9.1999999999999993</v>
      </c>
      <c r="I366">
        <v>0.75039565395259733</v>
      </c>
      <c r="J366">
        <v>0</v>
      </c>
      <c r="M366" s="6"/>
      <c r="S366" t="str">
        <f t="shared" si="3"/>
        <v/>
      </c>
    </row>
    <row r="367" spans="1:19" x14ac:dyDescent="0.3">
      <c r="A367">
        <v>392</v>
      </c>
      <c r="B367" t="s">
        <v>65</v>
      </c>
      <c r="C367">
        <v>8</v>
      </c>
      <c r="D367" s="5">
        <v>21640</v>
      </c>
      <c r="E367" t="s">
        <v>68</v>
      </c>
      <c r="F367" s="5">
        <v>4974</v>
      </c>
      <c r="G367">
        <v>36</v>
      </c>
      <c r="H367">
        <v>8</v>
      </c>
      <c r="I367">
        <v>0.175491996458779</v>
      </c>
      <c r="J367">
        <v>0</v>
      </c>
      <c r="M367" s="6"/>
      <c r="S367" t="str">
        <f t="shared" si="3"/>
        <v/>
      </c>
    </row>
    <row r="368" spans="1:19" x14ac:dyDescent="0.3">
      <c r="A368">
        <v>369</v>
      </c>
      <c r="B368" t="s">
        <v>65</v>
      </c>
      <c r="C368">
        <v>2</v>
      </c>
      <c r="D368" s="5">
        <v>29454</v>
      </c>
      <c r="E368" t="s">
        <v>67</v>
      </c>
      <c r="F368" s="5">
        <v>2817</v>
      </c>
      <c r="G368">
        <v>58</v>
      </c>
      <c r="H368">
        <v>1.3</v>
      </c>
      <c r="I368">
        <v>0.79724967329016538</v>
      </c>
      <c r="J368">
        <v>0</v>
      </c>
      <c r="M368" s="6"/>
      <c r="S368" t="str">
        <f t="shared" si="3"/>
        <v/>
      </c>
    </row>
    <row r="369" spans="1:19" x14ac:dyDescent="0.3">
      <c r="A369">
        <v>199</v>
      </c>
      <c r="B369" t="s">
        <v>64</v>
      </c>
      <c r="C369">
        <v>2</v>
      </c>
      <c r="D369" s="5">
        <v>30302</v>
      </c>
      <c r="E369" t="s">
        <v>68</v>
      </c>
      <c r="F369" s="5">
        <v>4738</v>
      </c>
      <c r="G369">
        <v>58</v>
      </c>
      <c r="H369">
        <v>10.9</v>
      </c>
      <c r="I369">
        <v>0.72443189588498247</v>
      </c>
      <c r="J369">
        <v>0</v>
      </c>
      <c r="M369" s="6"/>
      <c r="S369" t="str">
        <f t="shared" si="3"/>
        <v/>
      </c>
    </row>
    <row r="370" spans="1:19" x14ac:dyDescent="0.3">
      <c r="A370">
        <v>219</v>
      </c>
      <c r="B370" t="s">
        <v>62</v>
      </c>
      <c r="C370">
        <v>5</v>
      </c>
      <c r="D370" s="5">
        <v>24231</v>
      </c>
      <c r="E370" t="s">
        <v>68</v>
      </c>
      <c r="F370" s="5">
        <v>5108</v>
      </c>
      <c r="G370">
        <v>114</v>
      </c>
      <c r="H370">
        <v>10.5</v>
      </c>
      <c r="I370">
        <v>0.38577430016487113</v>
      </c>
      <c r="J370">
        <v>0</v>
      </c>
      <c r="M370" s="6"/>
      <c r="S370" t="str">
        <f t="shared" si="3"/>
        <v/>
      </c>
    </row>
    <row r="371" spans="1:19" x14ac:dyDescent="0.3">
      <c r="A371">
        <v>12</v>
      </c>
      <c r="B371" t="s">
        <v>63</v>
      </c>
      <c r="C371">
        <v>6</v>
      </c>
      <c r="D371" s="5">
        <v>24666</v>
      </c>
      <c r="E371" t="s">
        <v>67</v>
      </c>
      <c r="F371" s="5">
        <v>4742</v>
      </c>
      <c r="G371">
        <v>108</v>
      </c>
      <c r="H371">
        <v>7.3</v>
      </c>
      <c r="I371">
        <v>0.84767539726833607</v>
      </c>
      <c r="J371">
        <v>0</v>
      </c>
      <c r="M371" s="6"/>
      <c r="S371" t="str">
        <f t="shared" si="3"/>
        <v/>
      </c>
    </row>
    <row r="372" spans="1:19" x14ac:dyDescent="0.3">
      <c r="A372">
        <v>300</v>
      </c>
      <c r="B372" t="s">
        <v>64</v>
      </c>
      <c r="C372">
        <v>8</v>
      </c>
      <c r="D372" s="5">
        <v>31857</v>
      </c>
      <c r="E372" t="s">
        <v>69</v>
      </c>
      <c r="F372" s="5">
        <v>7038</v>
      </c>
      <c r="G372">
        <v>108</v>
      </c>
      <c r="H372">
        <v>1.7</v>
      </c>
      <c r="I372">
        <v>0.88507150032292681</v>
      </c>
      <c r="J372">
        <v>0</v>
      </c>
      <c r="M372" s="6"/>
      <c r="S372" t="str">
        <f t="shared" si="3"/>
        <v/>
      </c>
    </row>
    <row r="373" spans="1:19" x14ac:dyDescent="0.3">
      <c r="A373">
        <v>74</v>
      </c>
      <c r="B373" t="s">
        <v>62</v>
      </c>
      <c r="C373">
        <v>6</v>
      </c>
      <c r="D373" s="5">
        <v>32702</v>
      </c>
      <c r="E373" t="s">
        <v>68</v>
      </c>
      <c r="F373" s="5">
        <v>4108</v>
      </c>
      <c r="G373">
        <v>20</v>
      </c>
      <c r="H373">
        <v>2.6</v>
      </c>
      <c r="I373">
        <v>0.17068213785322828</v>
      </c>
      <c r="J373">
        <v>0</v>
      </c>
      <c r="M373" s="6"/>
      <c r="S373" t="str">
        <f t="shared" si="3"/>
        <v/>
      </c>
    </row>
    <row r="374" spans="1:19" x14ac:dyDescent="0.3">
      <c r="A374">
        <v>253</v>
      </c>
      <c r="B374" t="s">
        <v>64</v>
      </c>
      <c r="C374">
        <v>5</v>
      </c>
      <c r="D374" s="5">
        <v>30671</v>
      </c>
      <c r="E374" t="s">
        <v>66</v>
      </c>
      <c r="F374" s="5">
        <v>5756</v>
      </c>
      <c r="G374">
        <v>32</v>
      </c>
      <c r="H374">
        <v>10.9</v>
      </c>
      <c r="I374">
        <v>0.62063507109185889</v>
      </c>
      <c r="J374">
        <v>0</v>
      </c>
      <c r="M374" s="6"/>
      <c r="S374" t="str">
        <f t="shared" si="3"/>
        <v/>
      </c>
    </row>
    <row r="375" spans="1:19" x14ac:dyDescent="0.3">
      <c r="A375">
        <v>18</v>
      </c>
      <c r="B375" t="s">
        <v>62</v>
      </c>
      <c r="C375">
        <v>4</v>
      </c>
      <c r="D375" s="5">
        <v>34453</v>
      </c>
      <c r="E375" t="s">
        <v>66</v>
      </c>
      <c r="F375" s="5">
        <v>3453</v>
      </c>
      <c r="G375">
        <v>47</v>
      </c>
      <c r="H375">
        <v>6.7</v>
      </c>
      <c r="I375">
        <v>0.45838908396596356</v>
      </c>
      <c r="J375">
        <v>0</v>
      </c>
      <c r="M375" s="6"/>
      <c r="S375" t="str">
        <f t="shared" si="3"/>
        <v/>
      </c>
    </row>
    <row r="376" spans="1:19" x14ac:dyDescent="0.3">
      <c r="A376">
        <v>47</v>
      </c>
      <c r="B376" t="s">
        <v>63</v>
      </c>
      <c r="C376">
        <v>5</v>
      </c>
      <c r="D376" s="5">
        <v>27599</v>
      </c>
      <c r="E376" t="s">
        <v>67</v>
      </c>
      <c r="F376" s="5">
        <v>5991</v>
      </c>
      <c r="G376">
        <v>94</v>
      </c>
      <c r="H376">
        <v>8.5</v>
      </c>
      <c r="I376">
        <v>0.99960509184308943</v>
      </c>
      <c r="J376">
        <v>0</v>
      </c>
      <c r="M376" s="6"/>
      <c r="S376" t="str">
        <f t="shared" si="3"/>
        <v/>
      </c>
    </row>
    <row r="377" spans="1:19" x14ac:dyDescent="0.3">
      <c r="A377">
        <v>137</v>
      </c>
      <c r="B377" t="s">
        <v>62</v>
      </c>
      <c r="C377">
        <v>4</v>
      </c>
      <c r="D377" s="5">
        <v>33488</v>
      </c>
      <c r="E377" t="s">
        <v>68</v>
      </c>
      <c r="F377" s="5">
        <v>4038</v>
      </c>
      <c r="G377">
        <v>95</v>
      </c>
      <c r="H377">
        <v>11.8</v>
      </c>
      <c r="I377">
        <v>0.25836422742399834</v>
      </c>
      <c r="J377">
        <v>0</v>
      </c>
      <c r="M377" s="6"/>
      <c r="S377" t="str">
        <f t="shared" si="3"/>
        <v/>
      </c>
    </row>
    <row r="378" spans="1:19" x14ac:dyDescent="0.3">
      <c r="A378">
        <v>216</v>
      </c>
      <c r="B378" t="s">
        <v>63</v>
      </c>
      <c r="C378">
        <v>8</v>
      </c>
      <c r="D378" s="5">
        <v>25608</v>
      </c>
      <c r="E378" t="s">
        <v>69</v>
      </c>
      <c r="F378" s="5">
        <v>6201</v>
      </c>
      <c r="G378">
        <v>83</v>
      </c>
      <c r="H378">
        <v>13.5</v>
      </c>
      <c r="I378">
        <v>0.71621643218651976</v>
      </c>
      <c r="J378">
        <v>0</v>
      </c>
      <c r="M378" s="6"/>
      <c r="S378" t="str">
        <f t="shared" si="3"/>
        <v/>
      </c>
    </row>
    <row r="379" spans="1:19" x14ac:dyDescent="0.3">
      <c r="A379">
        <v>379</v>
      </c>
      <c r="B379" t="s">
        <v>63</v>
      </c>
      <c r="C379">
        <v>2</v>
      </c>
      <c r="D379" s="5">
        <v>25277</v>
      </c>
      <c r="E379" t="s">
        <v>68</v>
      </c>
      <c r="F379" s="5">
        <v>2984</v>
      </c>
      <c r="G379">
        <v>81</v>
      </c>
      <c r="H379">
        <v>10.8</v>
      </c>
      <c r="I379">
        <v>0.14064468438986022</v>
      </c>
      <c r="J379">
        <v>0</v>
      </c>
      <c r="M379" s="6"/>
      <c r="S379" t="str">
        <f t="shared" si="3"/>
        <v/>
      </c>
    </row>
    <row r="380" spans="1:19" x14ac:dyDescent="0.3">
      <c r="A380">
        <v>17</v>
      </c>
      <c r="B380" t="s">
        <v>65</v>
      </c>
      <c r="C380">
        <v>3</v>
      </c>
      <c r="D380" s="5">
        <v>35834</v>
      </c>
      <c r="E380" t="s">
        <v>69</v>
      </c>
      <c r="F380" s="5">
        <v>3587</v>
      </c>
      <c r="G380">
        <v>20</v>
      </c>
      <c r="H380">
        <v>13.9</v>
      </c>
      <c r="I380">
        <v>0.27632688285840434</v>
      </c>
      <c r="J380">
        <v>0</v>
      </c>
      <c r="M380" s="6"/>
      <c r="S380" t="str">
        <f t="shared" si="3"/>
        <v/>
      </c>
    </row>
    <row r="381" spans="1:19" x14ac:dyDescent="0.3">
      <c r="A381">
        <v>37</v>
      </c>
      <c r="B381" t="s">
        <v>63</v>
      </c>
      <c r="C381">
        <v>3</v>
      </c>
      <c r="D381" s="5">
        <v>24981</v>
      </c>
      <c r="E381" t="s">
        <v>68</v>
      </c>
      <c r="F381" s="5">
        <v>4934</v>
      </c>
      <c r="G381">
        <v>59</v>
      </c>
      <c r="H381">
        <v>0.6</v>
      </c>
      <c r="I381">
        <v>0.37704602565875456</v>
      </c>
      <c r="J381">
        <v>0</v>
      </c>
      <c r="M381" s="6"/>
      <c r="S381" t="str">
        <f t="shared" si="3"/>
        <v/>
      </c>
    </row>
    <row r="382" spans="1:19" x14ac:dyDescent="0.3">
      <c r="A382">
        <v>107</v>
      </c>
      <c r="B382" t="s">
        <v>65</v>
      </c>
      <c r="C382">
        <v>4</v>
      </c>
      <c r="D382" s="5">
        <v>14836</v>
      </c>
      <c r="E382" t="s">
        <v>67</v>
      </c>
      <c r="F382" s="5">
        <v>4744</v>
      </c>
      <c r="G382">
        <v>88</v>
      </c>
      <c r="H382">
        <v>8</v>
      </c>
      <c r="I382">
        <v>0.18650350865016674</v>
      </c>
      <c r="J382">
        <v>0</v>
      </c>
      <c r="M382" s="6"/>
      <c r="S382" t="str">
        <f t="shared" si="3"/>
        <v/>
      </c>
    </row>
    <row r="383" spans="1:19" x14ac:dyDescent="0.3">
      <c r="A383">
        <v>204</v>
      </c>
      <c r="B383" t="s">
        <v>64</v>
      </c>
      <c r="C383">
        <v>6</v>
      </c>
      <c r="D383" s="5">
        <v>27866</v>
      </c>
      <c r="E383" t="s">
        <v>68</v>
      </c>
      <c r="F383" s="5">
        <v>4292</v>
      </c>
      <c r="G383">
        <v>111</v>
      </c>
      <c r="H383">
        <v>6.3</v>
      </c>
      <c r="I383">
        <v>0.64940187108980452</v>
      </c>
      <c r="J383">
        <v>0</v>
      </c>
      <c r="M383" s="6"/>
      <c r="S383" t="str">
        <f t="shared" si="3"/>
        <v/>
      </c>
    </row>
    <row r="384" spans="1:19" x14ac:dyDescent="0.3">
      <c r="A384">
        <v>24</v>
      </c>
      <c r="B384" t="s">
        <v>65</v>
      </c>
      <c r="C384">
        <v>5</v>
      </c>
      <c r="D384" s="5">
        <v>27063</v>
      </c>
      <c r="E384" t="s">
        <v>67</v>
      </c>
      <c r="F384" s="5">
        <v>5991</v>
      </c>
      <c r="G384">
        <v>62</v>
      </c>
      <c r="H384">
        <v>7</v>
      </c>
      <c r="I384">
        <v>0.8600682967201948</v>
      </c>
      <c r="J384">
        <v>0</v>
      </c>
      <c r="M384" s="6"/>
      <c r="S384" t="str">
        <f t="shared" si="3"/>
        <v/>
      </c>
    </row>
    <row r="385" spans="1:19" x14ac:dyDescent="0.3">
      <c r="A385">
        <v>261</v>
      </c>
      <c r="B385" t="s">
        <v>63</v>
      </c>
      <c r="C385">
        <v>4</v>
      </c>
      <c r="D385" s="5">
        <v>18455</v>
      </c>
      <c r="E385" t="s">
        <v>69</v>
      </c>
      <c r="F385" s="5">
        <v>3817</v>
      </c>
      <c r="G385">
        <v>75</v>
      </c>
      <c r="H385">
        <v>14.2</v>
      </c>
      <c r="I385">
        <v>0.41128794918800604</v>
      </c>
      <c r="J385">
        <v>0</v>
      </c>
      <c r="M385" s="6"/>
      <c r="S385" t="str">
        <f t="shared" si="3"/>
        <v/>
      </c>
    </row>
    <row r="386" spans="1:19" x14ac:dyDescent="0.3">
      <c r="A386">
        <v>232</v>
      </c>
      <c r="B386" t="s">
        <v>62</v>
      </c>
      <c r="C386">
        <v>2</v>
      </c>
      <c r="D386" s="5">
        <v>28189</v>
      </c>
      <c r="E386" t="s">
        <v>69</v>
      </c>
      <c r="F386" s="5">
        <v>3786</v>
      </c>
      <c r="G386">
        <v>85</v>
      </c>
      <c r="H386">
        <v>1.4</v>
      </c>
      <c r="I386">
        <v>0.18931832130222948</v>
      </c>
      <c r="J386">
        <v>0</v>
      </c>
      <c r="M386" s="6"/>
      <c r="S386" t="str">
        <f t="shared" si="3"/>
        <v/>
      </c>
    </row>
    <row r="387" spans="1:19" x14ac:dyDescent="0.3">
      <c r="A387">
        <v>90</v>
      </c>
      <c r="B387" t="s">
        <v>64</v>
      </c>
      <c r="C387">
        <v>7</v>
      </c>
      <c r="D387" s="5">
        <v>27797</v>
      </c>
      <c r="E387" t="s">
        <v>69</v>
      </c>
      <c r="F387" s="5">
        <v>4984</v>
      </c>
      <c r="G387">
        <v>112</v>
      </c>
      <c r="H387">
        <v>0.7</v>
      </c>
      <c r="I387">
        <v>0.92311700257720286</v>
      </c>
      <c r="J387">
        <v>0</v>
      </c>
      <c r="M387" s="6"/>
      <c r="S387" t="str">
        <f t="shared" si="3"/>
        <v/>
      </c>
    </row>
    <row r="388" spans="1:19" x14ac:dyDescent="0.3">
      <c r="A388">
        <v>122</v>
      </c>
      <c r="B388" t="s">
        <v>64</v>
      </c>
      <c r="C388">
        <v>3</v>
      </c>
      <c r="D388" s="5">
        <v>14929</v>
      </c>
      <c r="E388" t="s">
        <v>67</v>
      </c>
      <c r="F388" s="5">
        <v>2736</v>
      </c>
      <c r="G388">
        <v>101</v>
      </c>
      <c r="H388">
        <v>10.7</v>
      </c>
      <c r="I388">
        <v>0.31086950513735978</v>
      </c>
      <c r="J388">
        <v>0</v>
      </c>
      <c r="M388" s="6"/>
      <c r="S388" t="str">
        <f t="shared" si="3"/>
        <v/>
      </c>
    </row>
    <row r="389" spans="1:19" x14ac:dyDescent="0.3">
      <c r="A389">
        <v>71</v>
      </c>
      <c r="B389" t="s">
        <v>63</v>
      </c>
      <c r="C389">
        <v>6</v>
      </c>
      <c r="D389" s="5">
        <v>24055</v>
      </c>
      <c r="E389" t="s">
        <v>68</v>
      </c>
      <c r="F389" s="5">
        <v>6184</v>
      </c>
      <c r="G389">
        <v>71</v>
      </c>
      <c r="H389">
        <v>11.9</v>
      </c>
      <c r="I389">
        <v>7.8588651228976181E-2</v>
      </c>
      <c r="J389">
        <v>0</v>
      </c>
      <c r="M389" s="6"/>
      <c r="S389" t="str">
        <f t="shared" si="3"/>
        <v/>
      </c>
    </row>
    <row r="390" spans="1:19" x14ac:dyDescent="0.3">
      <c r="A390">
        <v>187</v>
      </c>
      <c r="B390" t="s">
        <v>64</v>
      </c>
      <c r="C390">
        <v>6</v>
      </c>
      <c r="D390" s="5">
        <v>19708</v>
      </c>
      <c r="E390" t="s">
        <v>67</v>
      </c>
      <c r="F390" s="5">
        <v>6234</v>
      </c>
      <c r="G390">
        <v>75</v>
      </c>
      <c r="H390">
        <v>4.7</v>
      </c>
      <c r="I390">
        <v>0.96990643479801075</v>
      </c>
      <c r="J390">
        <v>0</v>
      </c>
      <c r="M390" s="6"/>
      <c r="S390" t="str">
        <f t="shared" si="3"/>
        <v/>
      </c>
    </row>
    <row r="391" spans="1:19" x14ac:dyDescent="0.3">
      <c r="A391">
        <v>46</v>
      </c>
      <c r="B391" t="s">
        <v>64</v>
      </c>
      <c r="C391">
        <v>8</v>
      </c>
      <c r="D391" s="5">
        <v>19015</v>
      </c>
      <c r="E391" t="s">
        <v>68</v>
      </c>
      <c r="F391" s="5">
        <v>6091</v>
      </c>
      <c r="G391">
        <v>98</v>
      </c>
      <c r="H391">
        <v>12.5</v>
      </c>
      <c r="I391">
        <v>0.61059789132349651</v>
      </c>
      <c r="J391">
        <v>0</v>
      </c>
      <c r="M391" s="6"/>
      <c r="S391" t="str">
        <f t="shared" ref="S391:S406" si="4">IF($J391=1,D391,"")</f>
        <v/>
      </c>
    </row>
    <row r="392" spans="1:19" x14ac:dyDescent="0.3">
      <c r="A392">
        <v>79</v>
      </c>
      <c r="B392" t="s">
        <v>62</v>
      </c>
      <c r="C392">
        <v>5</v>
      </c>
      <c r="D392" s="5">
        <v>15908</v>
      </c>
      <c r="E392" t="s">
        <v>68</v>
      </c>
      <c r="F392" s="5">
        <v>5635</v>
      </c>
      <c r="G392">
        <v>81</v>
      </c>
      <c r="H392">
        <v>8.3000000000000007</v>
      </c>
      <c r="I392">
        <v>0.43044338424438411</v>
      </c>
      <c r="J392">
        <v>0</v>
      </c>
      <c r="M392" s="6"/>
      <c r="S392" t="str">
        <f t="shared" si="4"/>
        <v/>
      </c>
    </row>
    <row r="393" spans="1:19" x14ac:dyDescent="0.3">
      <c r="A393">
        <v>45</v>
      </c>
      <c r="B393" t="s">
        <v>65</v>
      </c>
      <c r="C393">
        <v>4</v>
      </c>
      <c r="D393" s="5">
        <v>27691</v>
      </c>
      <c r="E393" t="s">
        <v>67</v>
      </c>
      <c r="F393" s="5">
        <v>4631</v>
      </c>
      <c r="G393">
        <v>17</v>
      </c>
      <c r="H393">
        <v>14.2</v>
      </c>
      <c r="I393">
        <v>1.8427000086513656E-2</v>
      </c>
      <c r="J393">
        <v>0</v>
      </c>
      <c r="M393" s="6"/>
      <c r="S393" t="str">
        <f t="shared" si="4"/>
        <v/>
      </c>
    </row>
    <row r="394" spans="1:19" x14ac:dyDescent="0.3">
      <c r="A394">
        <v>52</v>
      </c>
      <c r="B394" t="s">
        <v>64</v>
      </c>
      <c r="C394">
        <v>5</v>
      </c>
      <c r="D394" s="5">
        <v>27753</v>
      </c>
      <c r="E394" t="s">
        <v>68</v>
      </c>
      <c r="F394" s="5">
        <v>4110</v>
      </c>
      <c r="G394">
        <v>93</v>
      </c>
      <c r="H394">
        <v>12.6</v>
      </c>
      <c r="I394">
        <v>0.40958176056106532</v>
      </c>
      <c r="J394">
        <v>0</v>
      </c>
      <c r="M394" s="6"/>
      <c r="S394" t="str">
        <f t="shared" si="4"/>
        <v/>
      </c>
    </row>
    <row r="395" spans="1:19" x14ac:dyDescent="0.3">
      <c r="A395">
        <v>175</v>
      </c>
      <c r="B395" t="s">
        <v>65</v>
      </c>
      <c r="C395">
        <v>5</v>
      </c>
      <c r="D395" s="5">
        <v>22031</v>
      </c>
      <c r="E395" t="s">
        <v>67</v>
      </c>
      <c r="F395" s="5">
        <v>5690</v>
      </c>
      <c r="G395">
        <v>45</v>
      </c>
      <c r="H395">
        <v>11.9</v>
      </c>
      <c r="I395">
        <v>0.45066994647216729</v>
      </c>
      <c r="J395">
        <v>0</v>
      </c>
      <c r="M395" s="6"/>
      <c r="S395" t="str">
        <f t="shared" si="4"/>
        <v/>
      </c>
    </row>
    <row r="396" spans="1:19" x14ac:dyDescent="0.3">
      <c r="A396">
        <v>234</v>
      </c>
      <c r="B396" t="s">
        <v>64</v>
      </c>
      <c r="C396">
        <v>4</v>
      </c>
      <c r="D396" s="5">
        <v>31551</v>
      </c>
      <c r="E396" t="s">
        <v>67</v>
      </c>
      <c r="F396" s="5">
        <v>5255</v>
      </c>
      <c r="G396">
        <v>33</v>
      </c>
      <c r="H396">
        <v>14.6</v>
      </c>
      <c r="I396">
        <v>0.86894547850412684</v>
      </c>
      <c r="J396">
        <v>0</v>
      </c>
      <c r="M396" s="6"/>
      <c r="S396" t="str">
        <f t="shared" si="4"/>
        <v/>
      </c>
    </row>
    <row r="397" spans="1:19" x14ac:dyDescent="0.3">
      <c r="A397">
        <v>240</v>
      </c>
      <c r="B397" t="s">
        <v>64</v>
      </c>
      <c r="C397">
        <v>8</v>
      </c>
      <c r="D397" s="5">
        <v>45440</v>
      </c>
      <c r="E397" t="s">
        <v>67</v>
      </c>
      <c r="F397" s="5">
        <v>5329</v>
      </c>
      <c r="G397">
        <v>24</v>
      </c>
      <c r="H397">
        <v>14.4</v>
      </c>
      <c r="I397">
        <v>4.349379208798676E-2</v>
      </c>
      <c r="J397">
        <v>0</v>
      </c>
      <c r="M397" s="6"/>
      <c r="S397" t="str">
        <f t="shared" si="4"/>
        <v/>
      </c>
    </row>
    <row r="398" spans="1:19" x14ac:dyDescent="0.3">
      <c r="A398">
        <v>214</v>
      </c>
      <c r="B398" t="s">
        <v>64</v>
      </c>
      <c r="C398">
        <v>7</v>
      </c>
      <c r="D398" s="5">
        <v>22377</v>
      </c>
      <c r="E398" t="s">
        <v>67</v>
      </c>
      <c r="F398" s="5">
        <v>6084</v>
      </c>
      <c r="G398">
        <v>15</v>
      </c>
      <c r="H398">
        <v>0.6</v>
      </c>
      <c r="I398">
        <v>0.30389713013608033</v>
      </c>
      <c r="J398">
        <v>0</v>
      </c>
      <c r="M398" s="6"/>
      <c r="S398" t="str">
        <f t="shared" si="4"/>
        <v/>
      </c>
    </row>
    <row r="399" spans="1:19" x14ac:dyDescent="0.3">
      <c r="A399">
        <v>10</v>
      </c>
      <c r="B399" t="s">
        <v>65</v>
      </c>
      <c r="C399">
        <v>4</v>
      </c>
      <c r="D399" s="5">
        <v>26716</v>
      </c>
      <c r="E399" t="s">
        <v>68</v>
      </c>
      <c r="F399" s="5">
        <v>3504</v>
      </c>
      <c r="G399">
        <v>98</v>
      </c>
      <c r="H399">
        <v>9.8000000000000007</v>
      </c>
      <c r="I399">
        <v>0.66430427735214559</v>
      </c>
      <c r="J399">
        <v>0</v>
      </c>
      <c r="M399" s="6"/>
      <c r="S399" t="str">
        <f t="shared" si="4"/>
        <v/>
      </c>
    </row>
    <row r="400" spans="1:19" x14ac:dyDescent="0.3">
      <c r="A400">
        <v>146</v>
      </c>
      <c r="B400" t="s">
        <v>62</v>
      </c>
      <c r="C400">
        <v>3</v>
      </c>
      <c r="D400" s="5">
        <v>17997</v>
      </c>
      <c r="E400" t="s">
        <v>67</v>
      </c>
      <c r="F400" s="5">
        <v>4962</v>
      </c>
      <c r="G400">
        <v>34</v>
      </c>
      <c r="H400">
        <v>11.2</v>
      </c>
      <c r="I400">
        <v>0.68821135010305012</v>
      </c>
      <c r="J400">
        <v>0</v>
      </c>
      <c r="M400" s="6"/>
      <c r="S400" t="str">
        <f t="shared" si="4"/>
        <v/>
      </c>
    </row>
    <row r="401" spans="1:19" x14ac:dyDescent="0.3">
      <c r="A401">
        <v>182</v>
      </c>
      <c r="B401" t="s">
        <v>64</v>
      </c>
      <c r="C401">
        <v>8</v>
      </c>
      <c r="D401" s="5">
        <v>22351</v>
      </c>
      <c r="E401" t="s">
        <v>68</v>
      </c>
      <c r="F401" s="5">
        <v>5765</v>
      </c>
      <c r="G401">
        <v>114</v>
      </c>
      <c r="H401">
        <v>8.8000000000000007</v>
      </c>
      <c r="I401">
        <v>0.64951142988672861</v>
      </c>
      <c r="J401">
        <v>0</v>
      </c>
      <c r="M401" s="6"/>
      <c r="S401" t="str">
        <f t="shared" si="4"/>
        <v/>
      </c>
    </row>
    <row r="402" spans="1:19" x14ac:dyDescent="0.3">
      <c r="A402">
        <v>355</v>
      </c>
      <c r="B402" t="s">
        <v>64</v>
      </c>
      <c r="C402">
        <v>8</v>
      </c>
      <c r="D402" s="5">
        <v>46835</v>
      </c>
      <c r="E402" t="s">
        <v>68</v>
      </c>
      <c r="F402" s="5">
        <v>5149</v>
      </c>
      <c r="G402">
        <v>51</v>
      </c>
      <c r="H402">
        <v>11.7</v>
      </c>
      <c r="I402">
        <v>0.63062990128781882</v>
      </c>
      <c r="J402">
        <v>0</v>
      </c>
      <c r="M402" s="6"/>
      <c r="S402" t="str">
        <f t="shared" si="4"/>
        <v/>
      </c>
    </row>
    <row r="403" spans="1:19" x14ac:dyDescent="0.3">
      <c r="A403">
        <v>196</v>
      </c>
      <c r="B403" t="s">
        <v>62</v>
      </c>
      <c r="C403">
        <v>3</v>
      </c>
      <c r="D403" s="5">
        <v>22553</v>
      </c>
      <c r="E403" t="s">
        <v>67</v>
      </c>
      <c r="F403" s="5">
        <v>3580</v>
      </c>
      <c r="G403">
        <v>84</v>
      </c>
      <c r="H403">
        <v>14.9</v>
      </c>
      <c r="I403">
        <v>0.38803649119131622</v>
      </c>
      <c r="J403">
        <v>0</v>
      </c>
      <c r="M403" s="6"/>
      <c r="S403" t="str">
        <f t="shared" si="4"/>
        <v/>
      </c>
    </row>
    <row r="404" spans="1:19" x14ac:dyDescent="0.3">
      <c r="A404">
        <v>179</v>
      </c>
      <c r="B404" t="s">
        <v>62</v>
      </c>
      <c r="C404">
        <v>2</v>
      </c>
      <c r="D404" s="5">
        <v>21091</v>
      </c>
      <c r="E404" t="s">
        <v>69</v>
      </c>
      <c r="F404" s="5">
        <v>2407</v>
      </c>
      <c r="G404">
        <v>92</v>
      </c>
      <c r="H404">
        <v>2.2999999999999998</v>
      </c>
      <c r="I404">
        <v>0.24073361323985176</v>
      </c>
      <c r="J404">
        <v>0</v>
      </c>
      <c r="M404" s="6"/>
      <c r="S404" t="str">
        <f t="shared" si="4"/>
        <v/>
      </c>
    </row>
    <row r="405" spans="1:19" x14ac:dyDescent="0.3">
      <c r="A405">
        <v>50</v>
      </c>
      <c r="B405" t="s">
        <v>65</v>
      </c>
      <c r="C405">
        <v>7</v>
      </c>
      <c r="D405" s="5">
        <v>37920</v>
      </c>
      <c r="E405" t="s">
        <v>69</v>
      </c>
      <c r="F405" s="5">
        <v>5831</v>
      </c>
      <c r="G405">
        <v>120</v>
      </c>
      <c r="H405">
        <v>8.4</v>
      </c>
      <c r="I405">
        <v>0.44901650996545173</v>
      </c>
      <c r="J405">
        <v>0</v>
      </c>
      <c r="M405" s="6"/>
      <c r="S405" t="str">
        <f t="shared" si="4"/>
        <v/>
      </c>
    </row>
    <row r="406" spans="1:19" x14ac:dyDescent="0.3">
      <c r="S406" t="str">
        <f t="shared" si="4"/>
        <v/>
      </c>
    </row>
  </sheetData>
  <sortState xmlns:xlrd2="http://schemas.microsoft.com/office/spreadsheetml/2017/richdata2" ref="A6:I405">
    <sortCondition ref="I6:I405"/>
  </sortState>
  <mergeCells count="1"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D9E44-24B8-4B59-9CE3-C58998BB9EDD}">
  <dimension ref="A1:L14"/>
  <sheetViews>
    <sheetView workbookViewId="0">
      <selection activeCell="G1" sqref="G1"/>
    </sheetView>
  </sheetViews>
  <sheetFormatPr defaultRowHeight="14.4" x14ac:dyDescent="0.3"/>
  <cols>
    <col min="1" max="1" width="28.88671875" customWidth="1"/>
    <col min="2" max="2" width="17" customWidth="1"/>
    <col min="3" max="3" width="19.6640625" customWidth="1"/>
    <col min="4" max="4" width="38.88671875" bestFit="1" customWidth="1"/>
    <col min="5" max="5" width="14.5546875" bestFit="1" customWidth="1"/>
    <col min="6" max="6" width="12" bestFit="1" customWidth="1"/>
    <col min="7" max="7" width="37.33203125" customWidth="1"/>
    <col min="8" max="9" width="12" bestFit="1" customWidth="1"/>
    <col min="10" max="10" width="38.88671875" bestFit="1" customWidth="1"/>
    <col min="11" max="11" width="13.44140625" bestFit="1" customWidth="1"/>
    <col min="12" max="12" width="12" bestFit="1" customWidth="1"/>
  </cols>
  <sheetData>
    <row r="1" spans="1:12" ht="15" thickBot="1" x14ac:dyDescent="0.35">
      <c r="A1" t="s">
        <v>52</v>
      </c>
      <c r="D1" t="s">
        <v>39</v>
      </c>
      <c r="G1" t="s">
        <v>39</v>
      </c>
      <c r="J1" t="s">
        <v>39</v>
      </c>
    </row>
    <row r="2" spans="1:12" ht="15" thickBot="1" x14ac:dyDescent="0.35">
      <c r="A2" s="16" t="s">
        <v>58</v>
      </c>
      <c r="D2" s="16" t="s">
        <v>59</v>
      </c>
      <c r="G2" s="2" t="s">
        <v>60</v>
      </c>
      <c r="J2" s="12" t="s">
        <v>20</v>
      </c>
    </row>
    <row r="3" spans="1:12" x14ac:dyDescent="0.3">
      <c r="A3" s="11"/>
      <c r="B3" s="12" t="s">
        <v>31</v>
      </c>
      <c r="C3" s="12" t="s">
        <v>51</v>
      </c>
      <c r="D3" s="12"/>
      <c r="E3" s="12" t="s">
        <v>33</v>
      </c>
      <c r="F3" s="12" t="s">
        <v>53</v>
      </c>
      <c r="G3" s="11"/>
      <c r="H3" s="12" t="s">
        <v>56</v>
      </c>
      <c r="I3" s="12" t="s">
        <v>57</v>
      </c>
      <c r="K3" s="12" t="s">
        <v>54</v>
      </c>
      <c r="L3" s="12" t="s">
        <v>55</v>
      </c>
    </row>
    <row r="4" spans="1:12" x14ac:dyDescent="0.3">
      <c r="A4" s="13" t="s">
        <v>40</v>
      </c>
      <c r="B4" s="15">
        <v>27664.404999999999</v>
      </c>
      <c r="C4" s="15">
        <v>27790.695</v>
      </c>
      <c r="D4" s="9" t="s">
        <v>40</v>
      </c>
      <c r="E4" s="9">
        <v>4651.9849999999997</v>
      </c>
      <c r="F4" s="9">
        <v>4730.95</v>
      </c>
      <c r="G4" s="9" t="s">
        <v>40</v>
      </c>
      <c r="H4" s="9">
        <v>66.28</v>
      </c>
      <c r="I4" s="9">
        <v>65.290000000000006</v>
      </c>
      <c r="J4" s="9" t="s">
        <v>40</v>
      </c>
      <c r="K4" s="9">
        <v>7.5445000000000029</v>
      </c>
      <c r="L4" s="9">
        <v>7.6829999999999954</v>
      </c>
    </row>
    <row r="5" spans="1:12" x14ac:dyDescent="0.3">
      <c r="A5" s="13" t="s">
        <v>41</v>
      </c>
      <c r="B5" s="15">
        <v>59572947.15675883</v>
      </c>
      <c r="C5" s="15">
        <v>49125894.182889394</v>
      </c>
      <c r="D5" s="9" t="s">
        <v>41</v>
      </c>
      <c r="E5" s="9">
        <v>1154562.7887185926</v>
      </c>
      <c r="F5" s="9">
        <v>1063653.5954773868</v>
      </c>
      <c r="G5" s="9" t="s">
        <v>41</v>
      </c>
      <c r="H5" s="9">
        <v>936.13226130653243</v>
      </c>
      <c r="I5" s="9">
        <v>986.44814070351788</v>
      </c>
      <c r="J5" s="9" t="s">
        <v>41</v>
      </c>
      <c r="K5" s="9">
        <v>18.701075125628087</v>
      </c>
      <c r="L5" s="9">
        <v>18.0943829145729</v>
      </c>
    </row>
    <row r="6" spans="1:12" x14ac:dyDescent="0.3">
      <c r="A6" s="13" t="s">
        <v>42</v>
      </c>
      <c r="B6" s="9">
        <v>200</v>
      </c>
      <c r="C6" s="9">
        <v>200</v>
      </c>
      <c r="D6" s="9" t="s">
        <v>42</v>
      </c>
      <c r="E6" s="9">
        <v>200</v>
      </c>
      <c r="F6" s="9">
        <v>200</v>
      </c>
      <c r="G6" s="9" t="s">
        <v>42</v>
      </c>
      <c r="H6" s="9">
        <v>200</v>
      </c>
      <c r="I6" s="9">
        <v>200</v>
      </c>
      <c r="J6" s="9" t="s">
        <v>42</v>
      </c>
      <c r="K6" s="9">
        <v>200</v>
      </c>
      <c r="L6" s="9">
        <v>200</v>
      </c>
    </row>
    <row r="7" spans="1:12" x14ac:dyDescent="0.3">
      <c r="A7" s="13" t="s">
        <v>43</v>
      </c>
      <c r="B7" s="15">
        <v>54349420.669824108</v>
      </c>
      <c r="C7" s="9"/>
      <c r="D7" s="9" t="s">
        <v>43</v>
      </c>
      <c r="E7" s="9">
        <v>1109108.1920979898</v>
      </c>
      <c r="F7" s="9"/>
      <c r="G7" s="9" t="s">
        <v>43</v>
      </c>
      <c r="H7" s="9">
        <v>961.2902010050251</v>
      </c>
      <c r="I7" s="9"/>
      <c r="J7" s="9" t="s">
        <v>43</v>
      </c>
      <c r="K7" s="9">
        <v>18.397729020100492</v>
      </c>
      <c r="L7" s="9"/>
    </row>
    <row r="8" spans="1:12" x14ac:dyDescent="0.3">
      <c r="A8" s="13" t="s">
        <v>44</v>
      </c>
      <c r="B8" s="9">
        <v>0</v>
      </c>
      <c r="C8" s="9"/>
      <c r="D8" s="9" t="s">
        <v>44</v>
      </c>
      <c r="E8" s="9">
        <v>0</v>
      </c>
      <c r="F8" s="9"/>
      <c r="G8" s="9" t="s">
        <v>44</v>
      </c>
      <c r="H8" s="9">
        <v>0</v>
      </c>
      <c r="I8" s="9"/>
      <c r="J8" s="9" t="s">
        <v>44</v>
      </c>
      <c r="K8" s="9">
        <v>0</v>
      </c>
      <c r="L8" s="9"/>
    </row>
    <row r="9" spans="1:12" x14ac:dyDescent="0.3">
      <c r="A9" s="13" t="s">
        <v>45</v>
      </c>
      <c r="B9" s="9">
        <v>398</v>
      </c>
      <c r="C9" s="9"/>
      <c r="D9" s="9" t="s">
        <v>45</v>
      </c>
      <c r="E9" s="9">
        <v>398</v>
      </c>
      <c r="F9" s="9"/>
      <c r="G9" s="9" t="s">
        <v>45</v>
      </c>
      <c r="H9" s="9">
        <v>398</v>
      </c>
      <c r="I9" s="9"/>
      <c r="J9" s="9" t="s">
        <v>45</v>
      </c>
      <c r="K9" s="9">
        <v>398</v>
      </c>
      <c r="L9" s="9"/>
    </row>
    <row r="10" spans="1:12" x14ac:dyDescent="0.3">
      <c r="A10" s="13" t="s">
        <v>46</v>
      </c>
      <c r="B10" s="9">
        <v>-0.17130557765157153</v>
      </c>
      <c r="C10" s="9"/>
      <c r="D10" s="9" t="s">
        <v>46</v>
      </c>
      <c r="E10" s="9">
        <v>-0.7498038795389359</v>
      </c>
      <c r="F10" s="9"/>
      <c r="G10" s="9" t="s">
        <v>46</v>
      </c>
      <c r="H10" s="9">
        <v>0.31930663053559133</v>
      </c>
      <c r="I10" s="9"/>
      <c r="J10" s="9" t="s">
        <v>46</v>
      </c>
      <c r="K10" s="9">
        <v>-0.32289971706500803</v>
      </c>
      <c r="L10" s="9"/>
    </row>
    <row r="11" spans="1:12" x14ac:dyDescent="0.3">
      <c r="A11" s="13" t="s">
        <v>47</v>
      </c>
      <c r="B11" s="9">
        <v>0.43203527738437991</v>
      </c>
      <c r="C11" s="9"/>
      <c r="D11" s="9" t="s">
        <v>47</v>
      </c>
      <c r="E11" s="9">
        <v>0.22690790545952633</v>
      </c>
      <c r="F11" s="9"/>
      <c r="G11" s="9" t="s">
        <v>47</v>
      </c>
      <c r="H11" s="9">
        <v>0.374830765515899</v>
      </c>
      <c r="I11" s="9"/>
      <c r="J11" s="9" t="s">
        <v>47</v>
      </c>
      <c r="K11" s="9">
        <v>0.37347038021127577</v>
      </c>
      <c r="L11" s="9"/>
    </row>
    <row r="12" spans="1:12" x14ac:dyDescent="0.3">
      <c r="A12" s="13" t="s">
        <v>48</v>
      </c>
      <c r="B12" s="9">
        <v>1.6486911739598198</v>
      </c>
      <c r="C12" s="9"/>
      <c r="D12" s="9" t="s">
        <v>48</v>
      </c>
      <c r="E12" s="9">
        <v>1.6486911739598198</v>
      </c>
      <c r="F12" s="9"/>
      <c r="G12" s="9" t="s">
        <v>48</v>
      </c>
      <c r="H12" s="9">
        <v>1.6486911739598198</v>
      </c>
      <c r="I12" s="9"/>
      <c r="J12" s="9" t="s">
        <v>48</v>
      </c>
      <c r="K12" s="9">
        <v>1.6486911739598198</v>
      </c>
      <c r="L12" s="9"/>
    </row>
    <row r="13" spans="1:12" x14ac:dyDescent="0.3">
      <c r="A13" s="13" t="s">
        <v>49</v>
      </c>
      <c r="B13" s="9">
        <v>0.86407055476875982</v>
      </c>
      <c r="C13" s="9"/>
      <c r="D13" s="9" t="s">
        <v>49</v>
      </c>
      <c r="E13" s="9">
        <v>0.45381581091905265</v>
      </c>
      <c r="F13" s="9"/>
      <c r="G13" s="9" t="s">
        <v>49</v>
      </c>
      <c r="H13" s="9">
        <v>0.749661531031798</v>
      </c>
      <c r="I13" s="9"/>
      <c r="J13" s="9" t="s">
        <v>49</v>
      </c>
      <c r="K13" s="9">
        <v>0.74694076042255153</v>
      </c>
      <c r="L13" s="9"/>
    </row>
    <row r="14" spans="1:12" ht="15" thickBot="1" x14ac:dyDescent="0.35">
      <c r="A14" s="14" t="s">
        <v>50</v>
      </c>
      <c r="B14" s="10">
        <v>1.965942323976257</v>
      </c>
      <c r="C14" s="10"/>
      <c r="D14" s="10" t="s">
        <v>50</v>
      </c>
      <c r="E14" s="10">
        <v>1.965942323976257</v>
      </c>
      <c r="F14" s="10"/>
      <c r="G14" s="10" t="s">
        <v>50</v>
      </c>
      <c r="H14" s="10">
        <v>1.965942323976257</v>
      </c>
      <c r="I14" s="10"/>
      <c r="J14" s="10" t="s">
        <v>50</v>
      </c>
      <c r="K14" s="10">
        <v>1.965942323976257</v>
      </c>
      <c r="L14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0E182-C36D-45F4-9E55-CA4F5DE7C58C}">
  <dimension ref="A1:I16"/>
  <sheetViews>
    <sheetView workbookViewId="0">
      <selection activeCell="A26" sqref="A26"/>
    </sheetView>
  </sheetViews>
  <sheetFormatPr defaultRowHeight="14.4" x14ac:dyDescent="0.3"/>
  <cols>
    <col min="1" max="1" width="38.88671875" bestFit="1" customWidth="1"/>
    <col min="2" max="3" width="13.6640625" bestFit="1" customWidth="1"/>
    <col min="4" max="4" width="38.88671875" bestFit="1" customWidth="1"/>
    <col min="5" max="5" width="12.77734375" bestFit="1" customWidth="1"/>
    <col min="6" max="6" width="12.5546875" bestFit="1" customWidth="1"/>
    <col min="7" max="7" width="38.88671875" bestFit="1" customWidth="1"/>
  </cols>
  <sheetData>
    <row r="1" spans="1:9" x14ac:dyDescent="0.3">
      <c r="A1" s="2" t="s">
        <v>74</v>
      </c>
    </row>
    <row r="3" spans="1:9" x14ac:dyDescent="0.3">
      <c r="A3" t="s">
        <v>39</v>
      </c>
      <c r="D3" t="s">
        <v>39</v>
      </c>
      <c r="G3" t="s">
        <v>39</v>
      </c>
    </row>
    <row r="4" spans="1:9" ht="15" thickBot="1" x14ac:dyDescent="0.35">
      <c r="A4" s="16" t="s">
        <v>72</v>
      </c>
      <c r="D4" s="16" t="s">
        <v>24</v>
      </c>
      <c r="G4" s="16" t="s">
        <v>73</v>
      </c>
    </row>
    <row r="5" spans="1:9" s="2" customFormat="1" x14ac:dyDescent="0.3">
      <c r="A5" s="12"/>
      <c r="B5" s="12" t="s">
        <v>27</v>
      </c>
      <c r="C5" s="12" t="s">
        <v>30</v>
      </c>
      <c r="D5" s="12"/>
      <c r="E5" s="12" t="s">
        <v>27</v>
      </c>
      <c r="F5" s="12" t="s">
        <v>30</v>
      </c>
      <c r="G5" s="12"/>
      <c r="H5" s="12" t="s">
        <v>27</v>
      </c>
      <c r="I5" s="12" t="s">
        <v>27</v>
      </c>
    </row>
    <row r="6" spans="1:9" x14ac:dyDescent="0.3">
      <c r="A6" s="9" t="s">
        <v>40</v>
      </c>
      <c r="B6" s="15">
        <v>31262.7</v>
      </c>
      <c r="C6" s="15">
        <v>28922.775000000001</v>
      </c>
      <c r="D6" s="9" t="s">
        <v>40</v>
      </c>
      <c r="E6" s="15">
        <v>3305.5149999999999</v>
      </c>
      <c r="F6" s="15">
        <v>4660.2950000000001</v>
      </c>
      <c r="G6" s="9" t="s">
        <v>40</v>
      </c>
      <c r="H6" s="15">
        <v>29.324999999999999</v>
      </c>
      <c r="I6" s="15">
        <v>64.36</v>
      </c>
    </row>
    <row r="7" spans="1:9" x14ac:dyDescent="0.3">
      <c r="A7" s="9" t="s">
        <v>41</v>
      </c>
      <c r="B7" s="15">
        <v>66395312.331658289</v>
      </c>
      <c r="C7" s="15">
        <v>56165470.165201008</v>
      </c>
      <c r="D7" s="9" t="s">
        <v>41</v>
      </c>
      <c r="E7" s="15">
        <v>509947.51736180868</v>
      </c>
      <c r="F7" s="15">
        <v>1078058.7919346746</v>
      </c>
      <c r="G7" s="9" t="s">
        <v>41</v>
      </c>
      <c r="H7" s="15">
        <v>177.52701005025125</v>
      </c>
      <c r="I7" s="15">
        <v>920.18130653266314</v>
      </c>
    </row>
    <row r="8" spans="1:9" x14ac:dyDescent="0.3">
      <c r="A8" s="9" t="s">
        <v>42</v>
      </c>
      <c r="B8" s="15">
        <v>200</v>
      </c>
      <c r="C8" s="15">
        <v>200</v>
      </c>
      <c r="D8" s="9" t="s">
        <v>42</v>
      </c>
      <c r="E8" s="15">
        <v>200</v>
      </c>
      <c r="F8" s="15">
        <v>200</v>
      </c>
      <c r="G8" s="9" t="s">
        <v>42</v>
      </c>
      <c r="H8" s="15">
        <v>200</v>
      </c>
      <c r="I8" s="15">
        <v>200</v>
      </c>
    </row>
    <row r="9" spans="1:9" x14ac:dyDescent="0.3">
      <c r="A9" s="9" t="s">
        <v>43</v>
      </c>
      <c r="B9" s="15">
        <v>61280391.248429649</v>
      </c>
      <c r="C9" s="15"/>
      <c r="D9" s="9" t="s">
        <v>43</v>
      </c>
      <c r="E9" s="15">
        <v>794003.1546482417</v>
      </c>
      <c r="F9" s="15"/>
      <c r="G9" s="9" t="s">
        <v>43</v>
      </c>
      <c r="H9" s="15">
        <v>548.85415829145722</v>
      </c>
      <c r="I9" s="15"/>
    </row>
    <row r="10" spans="1:9" x14ac:dyDescent="0.3">
      <c r="A10" s="9" t="s">
        <v>44</v>
      </c>
      <c r="B10" s="15">
        <v>0</v>
      </c>
      <c r="C10" s="15"/>
      <c r="D10" s="9" t="s">
        <v>44</v>
      </c>
      <c r="E10" s="15">
        <v>0</v>
      </c>
      <c r="F10" s="15"/>
      <c r="G10" s="9" t="s">
        <v>44</v>
      </c>
      <c r="H10" s="15">
        <v>0</v>
      </c>
      <c r="I10" s="15"/>
    </row>
    <row r="11" spans="1:9" x14ac:dyDescent="0.3">
      <c r="A11" s="9" t="s">
        <v>45</v>
      </c>
      <c r="B11" s="15">
        <v>398</v>
      </c>
      <c r="C11" s="15"/>
      <c r="D11" s="9" t="s">
        <v>45</v>
      </c>
      <c r="E11" s="15">
        <v>398</v>
      </c>
      <c r="F11" s="15"/>
      <c r="G11" s="9" t="s">
        <v>45</v>
      </c>
      <c r="H11" s="15">
        <v>398</v>
      </c>
      <c r="I11" s="15"/>
    </row>
    <row r="12" spans="1:9" x14ac:dyDescent="0.3">
      <c r="A12" s="9" t="s">
        <v>46</v>
      </c>
      <c r="B12" s="15">
        <v>2.9891050121668488</v>
      </c>
      <c r="C12" s="15"/>
      <c r="D12" s="9" t="s">
        <v>46</v>
      </c>
      <c r="E12" s="15">
        <v>-15.203993062570779</v>
      </c>
      <c r="F12" s="15"/>
      <c r="G12" s="9" t="s">
        <v>46</v>
      </c>
      <c r="H12" s="15">
        <v>-14.954560097616747</v>
      </c>
      <c r="I12" s="15"/>
    </row>
    <row r="13" spans="1:9" x14ac:dyDescent="0.3">
      <c r="A13" s="9" t="s">
        <v>47</v>
      </c>
      <c r="B13" s="15">
        <v>1.4857682146696258E-3</v>
      </c>
      <c r="C13" s="15"/>
      <c r="D13" s="9" t="s">
        <v>47</v>
      </c>
      <c r="E13" s="15">
        <v>8.696570620898406E-42</v>
      </c>
      <c r="F13" s="15"/>
      <c r="G13" s="9" t="s">
        <v>47</v>
      </c>
      <c r="H13" s="15">
        <v>9.6253649854078229E-41</v>
      </c>
      <c r="I13" s="15"/>
    </row>
    <row r="14" spans="1:9" x14ac:dyDescent="0.3">
      <c r="A14" s="9" t="s">
        <v>48</v>
      </c>
      <c r="B14" s="15">
        <v>1.6486911739598198</v>
      </c>
      <c r="C14" s="15"/>
      <c r="D14" s="9" t="s">
        <v>48</v>
      </c>
      <c r="E14" s="15">
        <v>1.6486911739598198</v>
      </c>
      <c r="F14" s="15"/>
      <c r="G14" s="9" t="s">
        <v>48</v>
      </c>
      <c r="H14" s="15">
        <v>1.6486911739598198</v>
      </c>
      <c r="I14" s="15"/>
    </row>
    <row r="15" spans="1:9" x14ac:dyDescent="0.3">
      <c r="A15" s="9" t="s">
        <v>49</v>
      </c>
      <c r="B15" s="15">
        <v>2.9715364293392515E-3</v>
      </c>
      <c r="C15" s="15"/>
      <c r="D15" s="9" t="s">
        <v>49</v>
      </c>
      <c r="E15" s="15">
        <v>1.7393141241796812E-41</v>
      </c>
      <c r="F15" s="15"/>
      <c r="G15" s="9" t="s">
        <v>49</v>
      </c>
      <c r="H15" s="15">
        <v>1.9250729970815646E-40</v>
      </c>
      <c r="I15" s="15"/>
    </row>
    <row r="16" spans="1:9" ht="15" thickBot="1" x14ac:dyDescent="0.35">
      <c r="A16" s="10" t="s">
        <v>50</v>
      </c>
      <c r="B16" s="18">
        <v>1.965942323976257</v>
      </c>
      <c r="C16" s="18"/>
      <c r="D16" s="10" t="s">
        <v>50</v>
      </c>
      <c r="E16" s="18">
        <v>1.965942323976257</v>
      </c>
      <c r="F16" s="18"/>
      <c r="G16" s="10" t="s">
        <v>50</v>
      </c>
      <c r="H16" s="18">
        <v>1.965942323976257</v>
      </c>
      <c r="I16" s="18"/>
    </row>
  </sheetData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82CE4-8880-4630-8305-C5304DE1140F}">
  <dimension ref="B2:AQ405"/>
  <sheetViews>
    <sheetView topLeftCell="A375" zoomScaleNormal="100" workbookViewId="0">
      <selection activeCell="D6" sqref="D6"/>
    </sheetView>
  </sheetViews>
  <sheetFormatPr defaultRowHeight="14.4" x14ac:dyDescent="0.3"/>
  <cols>
    <col min="2" max="2" width="14.44140625" customWidth="1"/>
    <col min="3" max="3" width="11.33203125" customWidth="1"/>
    <col min="4" max="4" width="14.33203125" bestFit="1" customWidth="1"/>
    <col min="5" max="5" width="14.33203125" customWidth="1"/>
    <col min="6" max="6" width="14.33203125" bestFit="1" customWidth="1"/>
    <col min="7" max="7" width="26" bestFit="1" customWidth="1"/>
    <col min="8" max="8" width="19" bestFit="1" customWidth="1"/>
    <col min="9" max="9" width="19.33203125" bestFit="1" customWidth="1"/>
    <col min="10" max="10" width="23.77734375" bestFit="1" customWidth="1"/>
    <col min="11" max="11" width="19" bestFit="1" customWidth="1"/>
    <col min="12" max="12" width="22.5546875" bestFit="1" customWidth="1"/>
    <col min="13" max="13" width="9.77734375" bestFit="1" customWidth="1"/>
    <col min="16" max="16" width="11" customWidth="1"/>
    <col min="17" max="17" width="12.44140625" customWidth="1"/>
    <col min="18" max="18" width="16.33203125" customWidth="1"/>
    <col min="19" max="19" width="19.5546875" customWidth="1"/>
    <col min="20" max="20" width="9.6640625" bestFit="1" customWidth="1"/>
    <col min="22" max="22" width="18" customWidth="1"/>
    <col min="23" max="23" width="14.21875" customWidth="1"/>
    <col min="24" max="24" width="13.77734375" customWidth="1"/>
    <col min="25" max="25" width="13" customWidth="1"/>
    <col min="27" max="27" width="9.21875" bestFit="1" customWidth="1"/>
    <col min="28" max="28" width="12.5546875" bestFit="1" customWidth="1"/>
    <col min="29" max="29" width="11.5546875" bestFit="1" customWidth="1"/>
    <col min="34" max="34" width="38.88671875" bestFit="1" customWidth="1"/>
    <col min="35" max="36" width="12" bestFit="1" customWidth="1"/>
    <col min="37" max="37" width="38.88671875" bestFit="1" customWidth="1"/>
    <col min="38" max="38" width="12.6640625" bestFit="1" customWidth="1"/>
    <col min="39" max="39" width="12" bestFit="1" customWidth="1"/>
    <col min="40" max="40" width="38.88671875" bestFit="1" customWidth="1"/>
  </cols>
  <sheetData>
    <row r="2" spans="2:29" x14ac:dyDescent="0.3">
      <c r="B2" s="3" t="s">
        <v>61</v>
      </c>
      <c r="C2" s="3"/>
      <c r="D2" s="3"/>
      <c r="E2" s="17"/>
      <c r="F2" s="17"/>
      <c r="H2" s="17"/>
    </row>
    <row r="3" spans="2:29" x14ac:dyDescent="0.3">
      <c r="R3" s="2" t="s">
        <v>28</v>
      </c>
      <c r="S3" s="2" t="s">
        <v>29</v>
      </c>
      <c r="T3" s="2" t="s">
        <v>1</v>
      </c>
    </row>
    <row r="4" spans="2:29" x14ac:dyDescent="0.3">
      <c r="B4" s="22" t="s">
        <v>17</v>
      </c>
      <c r="C4" s="22" t="s">
        <v>21</v>
      </c>
      <c r="D4" s="2" t="s">
        <v>18</v>
      </c>
      <c r="E4" s="2" t="s">
        <v>27</v>
      </c>
      <c r="F4" s="2" t="s">
        <v>18</v>
      </c>
      <c r="G4" s="2" t="s">
        <v>22</v>
      </c>
      <c r="H4" s="2" t="s">
        <v>25</v>
      </c>
      <c r="I4" s="2" t="s">
        <v>19</v>
      </c>
      <c r="J4" s="2" t="s">
        <v>24</v>
      </c>
      <c r="K4" s="2" t="s">
        <v>25</v>
      </c>
      <c r="L4" s="2" t="s">
        <v>20</v>
      </c>
      <c r="M4" s="2" t="s">
        <v>27</v>
      </c>
      <c r="O4" s="7" t="str">
        <f>D4</f>
        <v>Household_Size</v>
      </c>
      <c r="P4" s="7"/>
      <c r="Q4" s="7"/>
      <c r="R4" s="7">
        <f>AVERAGE(D5:D204)</f>
        <v>4.9800000000000004</v>
      </c>
      <c r="S4" s="7">
        <f>AVERAGE(D205:D404)</f>
        <v>5.2149999999999999</v>
      </c>
      <c r="T4">
        <f>R4-S4</f>
        <v>-0.23499999999999943</v>
      </c>
      <c r="V4" s="2" t="s">
        <v>31</v>
      </c>
      <c r="W4" s="2" t="s">
        <v>32</v>
      </c>
      <c r="X4" s="2" t="s">
        <v>33</v>
      </c>
      <c r="Y4" s="2" t="s">
        <v>34</v>
      </c>
      <c r="Z4" s="2" t="s">
        <v>35</v>
      </c>
      <c r="AA4" s="2" t="s">
        <v>36</v>
      </c>
      <c r="AB4" s="2" t="s">
        <v>37</v>
      </c>
      <c r="AC4" s="2" t="s">
        <v>38</v>
      </c>
    </row>
    <row r="5" spans="2:29" x14ac:dyDescent="0.3">
      <c r="B5">
        <v>326</v>
      </c>
      <c r="C5" t="s">
        <v>63</v>
      </c>
      <c r="D5">
        <v>2</v>
      </c>
      <c r="E5">
        <v>1</v>
      </c>
      <c r="F5">
        <v>2</v>
      </c>
      <c r="G5" s="5">
        <v>19516</v>
      </c>
      <c r="H5">
        <v>36</v>
      </c>
      <c r="I5" t="s">
        <v>68</v>
      </c>
      <c r="J5" s="5">
        <v>2426</v>
      </c>
      <c r="K5">
        <v>36</v>
      </c>
      <c r="L5">
        <f>'KRWSIP_Program_Baseline Data'!H6</f>
        <v>14.1</v>
      </c>
      <c r="M5">
        <v>1</v>
      </c>
      <c r="O5" s="7" t="str">
        <f>G4</f>
        <v>Monthly_Household_Income</v>
      </c>
      <c r="P5" s="7"/>
      <c r="Q5" s="7"/>
      <c r="R5" s="8">
        <f>AVERAGE(G5:G204)</f>
        <v>31262.7</v>
      </c>
      <c r="S5" s="8">
        <f>AVERAGE(G205:G404)</f>
        <v>28922.775000000001</v>
      </c>
      <c r="T5">
        <f t="shared" ref="T5:T8" si="0">R5-S5</f>
        <v>2339.9249999999993</v>
      </c>
      <c r="V5" s="5">
        <f>IF($M5=1,G5,"")</f>
        <v>19516</v>
      </c>
      <c r="W5" s="5">
        <f>IF($M205=0, G205,"")</f>
        <v>24830</v>
      </c>
      <c r="X5" s="5">
        <f>IF($M5=1,J5,"")</f>
        <v>2426</v>
      </c>
      <c r="Y5" s="5">
        <f>IF($M205=0,J205,"")</f>
        <v>5681</v>
      </c>
      <c r="Z5" s="5">
        <f>IF($M5=1,K5,"")</f>
        <v>36</v>
      </c>
      <c r="AA5">
        <f>IF($M205=0,K205,"")</f>
        <v>88</v>
      </c>
      <c r="AB5">
        <f>IF($M5=1,L5,"")</f>
        <v>14.1</v>
      </c>
      <c r="AC5">
        <f>IF($M205=0,L205,"")</f>
        <v>3.5</v>
      </c>
    </row>
    <row r="6" spans="2:29" x14ac:dyDescent="0.3">
      <c r="B6">
        <v>288</v>
      </c>
      <c r="C6" t="s">
        <v>63</v>
      </c>
      <c r="D6">
        <v>3</v>
      </c>
      <c r="E6">
        <v>1</v>
      </c>
      <c r="F6">
        <v>3</v>
      </c>
      <c r="G6" s="5">
        <v>31054</v>
      </c>
      <c r="H6">
        <v>31</v>
      </c>
      <c r="I6" t="s">
        <v>66</v>
      </c>
      <c r="J6" s="5">
        <v>2445</v>
      </c>
      <c r="K6">
        <v>31</v>
      </c>
      <c r="L6">
        <f>'KRWSIP_Program_Baseline Data'!H7</f>
        <v>8.5</v>
      </c>
      <c r="M6">
        <v>1</v>
      </c>
      <c r="O6" s="7" t="str">
        <f>J4</f>
        <v>Annual Health Expenditure</v>
      </c>
      <c r="P6" s="7"/>
      <c r="Q6" s="7"/>
      <c r="R6" s="8">
        <f>AVERAGE(J5:J203)</f>
        <v>3305.7437185929648</v>
      </c>
      <c r="S6" s="8">
        <f>AVERAGE(J205:J404)</f>
        <v>4660.2950000000001</v>
      </c>
      <c r="T6">
        <f t="shared" si="0"/>
        <v>-1354.5512814070353</v>
      </c>
      <c r="V6" s="5">
        <f>IF($M6=1,G6,"")</f>
        <v>31054</v>
      </c>
      <c r="W6" s="5">
        <f>IF($M206=0, G206,"")</f>
        <v>31429</v>
      </c>
      <c r="X6" s="5">
        <f>IF($M6=1,J6,"")</f>
        <v>2445</v>
      </c>
      <c r="Y6" s="5">
        <f>IF($M206=0,J206,"")</f>
        <v>5077</v>
      </c>
      <c r="Z6" s="5">
        <f>IF($M6=1,K6,"")</f>
        <v>31</v>
      </c>
      <c r="AA6">
        <f>IF($M206=0,K206,"")</f>
        <v>29</v>
      </c>
      <c r="AB6">
        <f>IF($M6=1,L6,"")</f>
        <v>8.5</v>
      </c>
      <c r="AC6">
        <f>IF($M206=0,L206,"")</f>
        <v>6.7</v>
      </c>
    </row>
    <row r="7" spans="2:29" x14ac:dyDescent="0.3">
      <c r="B7">
        <v>68</v>
      </c>
      <c r="C7" t="s">
        <v>64</v>
      </c>
      <c r="D7">
        <v>7</v>
      </c>
      <c r="E7">
        <v>1</v>
      </c>
      <c r="F7">
        <v>7</v>
      </c>
      <c r="G7" s="5">
        <v>39285</v>
      </c>
      <c r="H7">
        <v>20</v>
      </c>
      <c r="I7" t="s">
        <v>66</v>
      </c>
      <c r="J7" s="5">
        <v>4620</v>
      </c>
      <c r="K7">
        <v>20</v>
      </c>
      <c r="L7">
        <f>'KRWSIP_Program_Baseline Data'!H8</f>
        <v>1.9</v>
      </c>
      <c r="M7">
        <v>1</v>
      </c>
      <c r="O7" s="7" t="str">
        <f>K4</f>
        <v>Time to collect Water</v>
      </c>
      <c r="P7" s="7"/>
      <c r="Q7" s="7"/>
      <c r="R7" s="7">
        <f>AVERAGE(K5:K204)</f>
        <v>29.324999999999999</v>
      </c>
      <c r="S7" s="7">
        <f>AVERAGE(K205:K404)</f>
        <v>64.36</v>
      </c>
      <c r="T7">
        <f t="shared" si="0"/>
        <v>-35.034999999999997</v>
      </c>
      <c r="V7" s="5">
        <f>IF($M7=1,G7,"")</f>
        <v>39285</v>
      </c>
      <c r="W7" s="5">
        <f>IF($M207=0, G207,"")</f>
        <v>28947</v>
      </c>
      <c r="X7" s="5">
        <f>IF($M7=1,J7,"")</f>
        <v>4620</v>
      </c>
      <c r="Y7" s="5">
        <f>IF($M207=0,J207,"")</f>
        <v>6477</v>
      </c>
      <c r="Z7" s="5">
        <f>IF($M7=1,K7,"")</f>
        <v>20</v>
      </c>
      <c r="AA7">
        <f>IF($M207=0,K207,"")</f>
        <v>59</v>
      </c>
      <c r="AB7">
        <f>IF($M7=1,L7,"")</f>
        <v>1.9</v>
      </c>
      <c r="AC7">
        <f>IF($M207=0,L207,"")</f>
        <v>11.2</v>
      </c>
    </row>
    <row r="8" spans="2:29" x14ac:dyDescent="0.3">
      <c r="B8">
        <v>139</v>
      </c>
      <c r="C8" t="s">
        <v>65</v>
      </c>
      <c r="D8">
        <v>8</v>
      </c>
      <c r="E8">
        <v>1</v>
      </c>
      <c r="F8">
        <v>8</v>
      </c>
      <c r="G8" s="5">
        <v>27775</v>
      </c>
      <c r="H8">
        <v>27</v>
      </c>
      <c r="I8" t="s">
        <v>66</v>
      </c>
      <c r="J8" s="5">
        <v>3312</v>
      </c>
      <c r="K8">
        <v>27</v>
      </c>
      <c r="L8">
        <f>'KRWSIP_Program_Baseline Data'!H9</f>
        <v>12.3</v>
      </c>
      <c r="M8">
        <v>1</v>
      </c>
      <c r="O8" s="7" t="str">
        <f>L4</f>
        <v>Distance to Health facility</v>
      </c>
      <c r="P8" s="7"/>
      <c r="Q8" s="7"/>
      <c r="R8" s="7">
        <f>AVERAGE(L5:L204)</f>
        <v>8.1254999999999971</v>
      </c>
      <c r="S8" s="7">
        <f>AVERAGE(L205:L404)</f>
        <v>7.656500000000003</v>
      </c>
      <c r="T8">
        <f t="shared" si="0"/>
        <v>0.46899999999999409</v>
      </c>
      <c r="V8" s="5">
        <f>IF($M8=1,G8,"")</f>
        <v>27775</v>
      </c>
      <c r="W8" s="5">
        <f>IF($M208=0, G208,"")</f>
        <v>23189</v>
      </c>
      <c r="X8" s="5">
        <f>IF($M8=1,J8,"")</f>
        <v>3312</v>
      </c>
      <c r="Y8" s="5">
        <f>IF($M208=0,J208,"")</f>
        <v>2641</v>
      </c>
      <c r="Z8" s="5">
        <f>IF($M8=1,K8,"")</f>
        <v>27</v>
      </c>
      <c r="AA8">
        <f>IF($M208=0,K208,"")</f>
        <v>46</v>
      </c>
      <c r="AB8">
        <f>IF($M8=1,L8,"")</f>
        <v>12.3</v>
      </c>
      <c r="AC8">
        <f>IF($M208=0,L208,"")</f>
        <v>13.9</v>
      </c>
    </row>
    <row r="9" spans="2:29" x14ac:dyDescent="0.3">
      <c r="B9">
        <v>102</v>
      </c>
      <c r="C9" t="s">
        <v>65</v>
      </c>
      <c r="D9">
        <v>4</v>
      </c>
      <c r="E9">
        <v>1</v>
      </c>
      <c r="F9">
        <v>4</v>
      </c>
      <c r="G9" s="5">
        <v>38113</v>
      </c>
      <c r="H9">
        <v>9</v>
      </c>
      <c r="I9" t="s">
        <v>68</v>
      </c>
      <c r="J9" s="5">
        <v>4120</v>
      </c>
      <c r="K9">
        <v>9</v>
      </c>
      <c r="L9">
        <f>'KRWSIP_Program_Baseline Data'!H10</f>
        <v>14.7</v>
      </c>
      <c r="M9">
        <v>1</v>
      </c>
      <c r="V9" s="5">
        <f>IF($M9=1,G9,"")</f>
        <v>38113</v>
      </c>
      <c r="W9" s="5">
        <f>IF($M209=0, G209,"")</f>
        <v>37703</v>
      </c>
      <c r="X9" s="5">
        <f>IF($M9=1,J9,"")</f>
        <v>4120</v>
      </c>
      <c r="Y9" s="5">
        <f>IF($M209=0,J209,"")</f>
        <v>4626</v>
      </c>
      <c r="Z9" s="5">
        <f>IF($M9=1,K9,"")</f>
        <v>9</v>
      </c>
      <c r="AA9">
        <f>IF($M209=0,K209,"")</f>
        <v>103</v>
      </c>
      <c r="AB9">
        <f>IF($M9=1,L9,"")</f>
        <v>14.7</v>
      </c>
      <c r="AC9">
        <f>IF($M209=0,L209,"")</f>
        <v>7.2</v>
      </c>
    </row>
    <row r="10" spans="2:29" x14ac:dyDescent="0.3">
      <c r="B10">
        <v>385</v>
      </c>
      <c r="C10" t="s">
        <v>64</v>
      </c>
      <c r="D10">
        <v>4</v>
      </c>
      <c r="E10">
        <v>1</v>
      </c>
      <c r="F10">
        <v>4</v>
      </c>
      <c r="G10" s="5">
        <v>36615</v>
      </c>
      <c r="H10">
        <v>40</v>
      </c>
      <c r="I10" t="s">
        <v>69</v>
      </c>
      <c r="J10" s="5">
        <v>2913</v>
      </c>
      <c r="K10">
        <v>40</v>
      </c>
      <c r="L10">
        <f>'KRWSIP_Program_Baseline Data'!H11</f>
        <v>11.3</v>
      </c>
      <c r="M10">
        <v>1</v>
      </c>
      <c r="V10" s="5">
        <f>IF($M10=1,G10,"")</f>
        <v>36615</v>
      </c>
      <c r="W10" s="5">
        <f>IF($M210=0, G210,"")</f>
        <v>21543</v>
      </c>
      <c r="X10" s="5">
        <f>IF($M10=1,J10,"")</f>
        <v>2913</v>
      </c>
      <c r="Y10" s="5">
        <f>IF($M210=0,J210,"")</f>
        <v>3620</v>
      </c>
      <c r="Z10" s="5">
        <f>IF($M10=1,K10,"")</f>
        <v>40</v>
      </c>
      <c r="AA10">
        <f>IF($M210=0,K210,"")</f>
        <v>53</v>
      </c>
      <c r="AB10">
        <f>IF($M10=1,L10,"")</f>
        <v>11.3</v>
      </c>
      <c r="AC10">
        <f>IF($M210=0,L210,"")</f>
        <v>10.4</v>
      </c>
    </row>
    <row r="11" spans="2:29" x14ac:dyDescent="0.3">
      <c r="B11">
        <v>308</v>
      </c>
      <c r="C11" t="s">
        <v>65</v>
      </c>
      <c r="D11">
        <v>2</v>
      </c>
      <c r="E11">
        <v>1</v>
      </c>
      <c r="F11">
        <v>2</v>
      </c>
      <c r="G11" s="5">
        <v>38931</v>
      </c>
      <c r="H11">
        <v>27</v>
      </c>
      <c r="I11" t="s">
        <v>69</v>
      </c>
      <c r="J11" s="5">
        <v>2814</v>
      </c>
      <c r="K11">
        <v>27</v>
      </c>
      <c r="L11">
        <f>'KRWSIP_Program_Baseline Data'!H12</f>
        <v>10.5</v>
      </c>
      <c r="M11">
        <v>1</v>
      </c>
      <c r="V11" s="5">
        <f>IF($M11=1,G11,"")</f>
        <v>38931</v>
      </c>
      <c r="W11" s="5">
        <f>IF($M211=0, G211,"")</f>
        <v>29013</v>
      </c>
      <c r="X11" s="5">
        <f>IF($M11=1,J11,"")</f>
        <v>2814</v>
      </c>
      <c r="Y11" s="5">
        <f>IF($M211=0,J211,"")</f>
        <v>5213</v>
      </c>
      <c r="Z11" s="5">
        <f>IF($M11=1,K11,"")</f>
        <v>27</v>
      </c>
      <c r="AA11">
        <f>IF($M211=0,K211,"")</f>
        <v>114</v>
      </c>
      <c r="AB11">
        <f>IF($M11=1,L11,"")</f>
        <v>10.5</v>
      </c>
      <c r="AC11">
        <f>IF($M211=0,L211,"")</f>
        <v>14.2</v>
      </c>
    </row>
    <row r="12" spans="2:29" x14ac:dyDescent="0.3">
      <c r="B12">
        <v>314</v>
      </c>
      <c r="C12" t="s">
        <v>62</v>
      </c>
      <c r="D12">
        <v>3</v>
      </c>
      <c r="E12">
        <v>1</v>
      </c>
      <c r="F12">
        <v>3</v>
      </c>
      <c r="G12" s="5">
        <v>36812</v>
      </c>
      <c r="H12">
        <v>32</v>
      </c>
      <c r="I12" t="s">
        <v>69</v>
      </c>
      <c r="J12" s="5">
        <v>1836</v>
      </c>
      <c r="K12">
        <v>32</v>
      </c>
      <c r="L12">
        <f>'KRWSIP_Program_Baseline Data'!H13</f>
        <v>11.7</v>
      </c>
      <c r="M12">
        <v>1</v>
      </c>
      <c r="P12" s="6"/>
      <c r="V12" s="5">
        <f>IF($M12=1,G12,"")</f>
        <v>36812</v>
      </c>
      <c r="W12" s="5">
        <f>IF($M212=0, G212,"")</f>
        <v>38238</v>
      </c>
      <c r="X12" s="5">
        <f>IF($M12=1,J12,"")</f>
        <v>1836</v>
      </c>
      <c r="Y12" s="5">
        <f>IF($M212=0,J212,"")</f>
        <v>6971</v>
      </c>
      <c r="Z12" s="5">
        <f>IF($M12=1,K12,"")</f>
        <v>32</v>
      </c>
      <c r="AA12">
        <f>IF($M212=0,K212,"")</f>
        <v>103</v>
      </c>
      <c r="AB12">
        <f>IF($M12=1,L12,"")</f>
        <v>11.7</v>
      </c>
      <c r="AC12">
        <f>IF($M212=0,L212,"")</f>
        <v>4.8</v>
      </c>
    </row>
    <row r="13" spans="2:29" x14ac:dyDescent="0.3">
      <c r="B13">
        <v>123</v>
      </c>
      <c r="C13" t="s">
        <v>62</v>
      </c>
      <c r="D13">
        <v>6</v>
      </c>
      <c r="E13">
        <v>1</v>
      </c>
      <c r="F13">
        <v>6</v>
      </c>
      <c r="G13" s="5">
        <v>26299</v>
      </c>
      <c r="H13">
        <v>17</v>
      </c>
      <c r="I13" t="s">
        <v>66</v>
      </c>
      <c r="J13" s="5">
        <v>3870</v>
      </c>
      <c r="K13">
        <v>17</v>
      </c>
      <c r="L13">
        <f>'KRWSIP_Program_Baseline Data'!H14</f>
        <v>13.7</v>
      </c>
      <c r="M13">
        <v>1</v>
      </c>
      <c r="P13" s="6"/>
      <c r="V13" s="5">
        <f>IF($M13=1,G13,"")</f>
        <v>26299</v>
      </c>
      <c r="W13" s="5">
        <f>IF($M213=0, G213,"")</f>
        <v>26437</v>
      </c>
      <c r="X13" s="5">
        <f>IF($M13=1,J13,"")</f>
        <v>3870</v>
      </c>
      <c r="Y13" s="5">
        <f>IF($M213=0,J213,"")</f>
        <v>2677</v>
      </c>
      <c r="Z13" s="5">
        <f>IF($M13=1,K13,"")</f>
        <v>17</v>
      </c>
      <c r="AA13">
        <f>IF($M213=0,K213,"")</f>
        <v>24</v>
      </c>
      <c r="AB13">
        <f>IF($M13=1,L13,"")</f>
        <v>13.7</v>
      </c>
      <c r="AC13">
        <f>IF($M213=0,L213,"")</f>
        <v>10.199999999999999</v>
      </c>
    </row>
    <row r="14" spans="2:29" x14ac:dyDescent="0.3">
      <c r="B14">
        <v>371</v>
      </c>
      <c r="C14" t="s">
        <v>63</v>
      </c>
      <c r="D14">
        <v>7</v>
      </c>
      <c r="E14">
        <v>1</v>
      </c>
      <c r="F14">
        <v>7</v>
      </c>
      <c r="G14" s="5">
        <v>42237</v>
      </c>
      <c r="H14">
        <v>16</v>
      </c>
      <c r="I14" t="s">
        <v>67</v>
      </c>
      <c r="J14" s="5">
        <v>2944</v>
      </c>
      <c r="K14">
        <v>16</v>
      </c>
      <c r="L14">
        <f>'KRWSIP_Program_Baseline Data'!H15</f>
        <v>0.8</v>
      </c>
      <c r="M14">
        <v>1</v>
      </c>
      <c r="P14" s="6"/>
      <c r="V14" s="5">
        <f>IF($M14=1,G14,"")</f>
        <v>42237</v>
      </c>
      <c r="W14" s="5">
        <f>IF($M214=0, G214,"")</f>
        <v>19219</v>
      </c>
      <c r="X14" s="5">
        <f>IF($M14=1,J14,"")</f>
        <v>2944</v>
      </c>
      <c r="Y14" s="5">
        <f>IF($M214=0,J214,"")</f>
        <v>5116</v>
      </c>
      <c r="Z14" s="5">
        <f>IF($M14=1,K14,"")</f>
        <v>16</v>
      </c>
      <c r="AA14">
        <f>IF($M214=0,K214,"")</f>
        <v>80</v>
      </c>
      <c r="AB14">
        <f>IF($M14=1,L14,"")</f>
        <v>0.8</v>
      </c>
      <c r="AC14">
        <f>IF($M214=0,L214,"")</f>
        <v>12.4</v>
      </c>
    </row>
    <row r="15" spans="2:29" x14ac:dyDescent="0.3">
      <c r="B15">
        <v>143</v>
      </c>
      <c r="C15" t="s">
        <v>62</v>
      </c>
      <c r="D15">
        <v>6</v>
      </c>
      <c r="E15">
        <v>1</v>
      </c>
      <c r="F15">
        <v>6</v>
      </c>
      <c r="G15" s="5">
        <v>41606</v>
      </c>
      <c r="H15">
        <v>26</v>
      </c>
      <c r="I15" t="s">
        <v>69</v>
      </c>
      <c r="J15" s="5">
        <v>3585</v>
      </c>
      <c r="K15">
        <v>26</v>
      </c>
      <c r="L15">
        <f>'KRWSIP_Program_Baseline Data'!H16</f>
        <v>2.1</v>
      </c>
      <c r="M15">
        <v>1</v>
      </c>
      <c r="P15" s="6"/>
      <c r="V15" s="5">
        <f>IF($M15=1,G15,"")</f>
        <v>41606</v>
      </c>
      <c r="W15" s="5">
        <f>IF($M215=0, G215,"")</f>
        <v>27241</v>
      </c>
      <c r="X15" s="5">
        <f>IF($M15=1,J15,"")</f>
        <v>3585</v>
      </c>
      <c r="Y15" s="5">
        <f>IF($M215=0,J215,"")</f>
        <v>3432</v>
      </c>
      <c r="Z15" s="5">
        <f>IF($M15=1,K15,"")</f>
        <v>26</v>
      </c>
      <c r="AA15">
        <f>IF($M215=0,K215,"")</f>
        <v>96</v>
      </c>
      <c r="AB15">
        <f>IF($M15=1,L15,"")</f>
        <v>2.1</v>
      </c>
      <c r="AC15">
        <f>IF($M215=0,L215,"")</f>
        <v>5.4</v>
      </c>
    </row>
    <row r="16" spans="2:29" x14ac:dyDescent="0.3">
      <c r="B16">
        <v>374</v>
      </c>
      <c r="C16" t="s">
        <v>62</v>
      </c>
      <c r="D16">
        <v>2</v>
      </c>
      <c r="E16">
        <v>1</v>
      </c>
      <c r="F16">
        <v>2</v>
      </c>
      <c r="G16" s="5">
        <v>39207</v>
      </c>
      <c r="H16">
        <v>35</v>
      </c>
      <c r="I16" t="s">
        <v>67</v>
      </c>
      <c r="J16" s="5">
        <v>2096</v>
      </c>
      <c r="K16">
        <v>35</v>
      </c>
      <c r="L16">
        <f>'KRWSIP_Program_Baseline Data'!H17</f>
        <v>15</v>
      </c>
      <c r="M16">
        <v>1</v>
      </c>
      <c r="P16" s="6"/>
      <c r="V16" s="5">
        <f>IF($M16=1,G16,"")</f>
        <v>39207</v>
      </c>
      <c r="W16" s="5">
        <f>IF($M216=0, G216,"")</f>
        <v>24530</v>
      </c>
      <c r="X16" s="5">
        <f>IF($M16=1,J16,"")</f>
        <v>2096</v>
      </c>
      <c r="Y16" s="5">
        <f>IF($M216=0,J216,"")</f>
        <v>5334</v>
      </c>
      <c r="Z16" s="5">
        <f>IF($M16=1,K16,"")</f>
        <v>35</v>
      </c>
      <c r="AA16">
        <f>IF($M216=0,K216,"")</f>
        <v>93</v>
      </c>
      <c r="AB16">
        <f>IF($M16=1,L16,"")</f>
        <v>15</v>
      </c>
      <c r="AC16">
        <f>IF($M216=0,L216,"")</f>
        <v>7.2</v>
      </c>
    </row>
    <row r="17" spans="2:43" x14ac:dyDescent="0.3">
      <c r="B17">
        <v>278</v>
      </c>
      <c r="C17" t="s">
        <v>64</v>
      </c>
      <c r="D17">
        <v>4</v>
      </c>
      <c r="E17">
        <v>1</v>
      </c>
      <c r="F17">
        <v>4</v>
      </c>
      <c r="G17" s="5">
        <v>34419</v>
      </c>
      <c r="H17">
        <v>24</v>
      </c>
      <c r="I17" t="s">
        <v>69</v>
      </c>
      <c r="J17" s="5">
        <v>4084</v>
      </c>
      <c r="K17">
        <v>24</v>
      </c>
      <c r="L17">
        <f>'KRWSIP_Program_Baseline Data'!H18</f>
        <v>7.2</v>
      </c>
      <c r="M17">
        <v>1</v>
      </c>
      <c r="P17" s="6"/>
      <c r="V17" s="5">
        <f>IF($M17=1,G17,"")</f>
        <v>34419</v>
      </c>
      <c r="W17" s="5">
        <f>IF($M217=0, G217,"")</f>
        <v>33734</v>
      </c>
      <c r="X17" s="5">
        <f>IF($M17=1,J17,"")</f>
        <v>4084</v>
      </c>
      <c r="Y17" s="5">
        <f>IF($M217=0,J217,"")</f>
        <v>2263</v>
      </c>
      <c r="Z17" s="5">
        <f>IF($M17=1,K17,"")</f>
        <v>24</v>
      </c>
      <c r="AA17">
        <f>IF($M217=0,K217,"")</f>
        <v>119</v>
      </c>
      <c r="AB17">
        <f>IF($M17=1,L17,"")</f>
        <v>7.2</v>
      </c>
      <c r="AC17">
        <f>IF($M217=0,L217,"")</f>
        <v>12.9</v>
      </c>
    </row>
    <row r="18" spans="2:43" x14ac:dyDescent="0.3">
      <c r="B18">
        <v>61</v>
      </c>
      <c r="C18" t="s">
        <v>62</v>
      </c>
      <c r="D18">
        <v>8</v>
      </c>
      <c r="E18">
        <v>1</v>
      </c>
      <c r="F18">
        <v>8</v>
      </c>
      <c r="G18" s="5">
        <v>34518</v>
      </c>
      <c r="H18">
        <v>36</v>
      </c>
      <c r="I18" t="s">
        <v>68</v>
      </c>
      <c r="J18" s="5">
        <v>4850</v>
      </c>
      <c r="K18">
        <v>36</v>
      </c>
      <c r="L18">
        <f>'KRWSIP_Program_Baseline Data'!H19</f>
        <v>11.4</v>
      </c>
      <c r="M18">
        <v>1</v>
      </c>
      <c r="P18" s="6"/>
      <c r="V18" s="5">
        <f>IF($M18=1,G18,"")</f>
        <v>34518</v>
      </c>
      <c r="W18" s="5">
        <f>IF($M218=0, G218,"")</f>
        <v>27872</v>
      </c>
      <c r="X18" s="5">
        <f>IF($M18=1,J18,"")</f>
        <v>4850</v>
      </c>
      <c r="Y18" s="5">
        <f>IF($M218=0,J218,"")</f>
        <v>4830</v>
      </c>
      <c r="Z18" s="5">
        <f>IF($M18=1,K18,"")</f>
        <v>36</v>
      </c>
      <c r="AA18">
        <f>IF($M218=0,K218,"")</f>
        <v>77</v>
      </c>
      <c r="AB18">
        <f>IF($M18=1,L18,"")</f>
        <v>11.4</v>
      </c>
      <c r="AC18">
        <f>IF($M218=0,L218,"")</f>
        <v>0.8</v>
      </c>
    </row>
    <row r="19" spans="2:43" x14ac:dyDescent="0.3">
      <c r="B19">
        <v>9</v>
      </c>
      <c r="C19" t="s">
        <v>62</v>
      </c>
      <c r="D19">
        <v>7</v>
      </c>
      <c r="E19">
        <v>1</v>
      </c>
      <c r="F19">
        <v>7</v>
      </c>
      <c r="G19" s="5">
        <v>19886</v>
      </c>
      <c r="H19">
        <v>38</v>
      </c>
      <c r="I19" t="s">
        <v>68</v>
      </c>
      <c r="J19" s="5">
        <v>3819</v>
      </c>
      <c r="K19">
        <v>38</v>
      </c>
      <c r="L19">
        <f>'KRWSIP_Program_Baseline Data'!H20</f>
        <v>12</v>
      </c>
      <c r="M19">
        <v>1</v>
      </c>
      <c r="P19" s="6"/>
      <c r="V19" s="5">
        <f>IF($M19=1,G19,"")</f>
        <v>19886</v>
      </c>
      <c r="W19" s="5">
        <f>IF($M219=0, G219,"")</f>
        <v>18671</v>
      </c>
      <c r="X19" s="5">
        <f>IF($M19=1,J19,"")</f>
        <v>3819</v>
      </c>
      <c r="Y19" s="5">
        <f>IF($M219=0,J219,"")</f>
        <v>3961</v>
      </c>
      <c r="Z19" s="5">
        <f>IF($M19=1,K19,"")</f>
        <v>38</v>
      </c>
      <c r="AA19">
        <f>IF($M219=0,K219,"")</f>
        <v>88</v>
      </c>
      <c r="AB19">
        <f>IF($M19=1,L19,"")</f>
        <v>12</v>
      </c>
      <c r="AC19">
        <f>IF($M219=0,L219,"")</f>
        <v>13.8</v>
      </c>
    </row>
    <row r="20" spans="2:43" x14ac:dyDescent="0.3">
      <c r="B20">
        <v>297</v>
      </c>
      <c r="C20" t="s">
        <v>63</v>
      </c>
      <c r="D20">
        <v>8</v>
      </c>
      <c r="E20">
        <v>1</v>
      </c>
      <c r="F20">
        <v>8</v>
      </c>
      <c r="G20" s="5">
        <v>33981</v>
      </c>
      <c r="H20">
        <v>21</v>
      </c>
      <c r="I20" t="s">
        <v>67</v>
      </c>
      <c r="J20" s="5">
        <v>4808</v>
      </c>
      <c r="K20">
        <v>21</v>
      </c>
      <c r="L20">
        <f>'KRWSIP_Program_Baseline Data'!H21</f>
        <v>13.9</v>
      </c>
      <c r="M20">
        <v>1</v>
      </c>
      <c r="P20" s="6"/>
      <c r="V20" s="5">
        <f>IF($M20=1,G20,"")</f>
        <v>33981</v>
      </c>
      <c r="W20" s="5">
        <f>IF($M220=0, G220,"")</f>
        <v>29940</v>
      </c>
      <c r="X20" s="5">
        <f>IF($M20=1,J20,"")</f>
        <v>4808</v>
      </c>
      <c r="Y20" s="5">
        <f>IF($M220=0,J220,"")</f>
        <v>4738</v>
      </c>
      <c r="Z20" s="5">
        <f>IF($M20=1,K20,"")</f>
        <v>21</v>
      </c>
      <c r="AA20">
        <f>IF($M220=0,K220,"")</f>
        <v>90</v>
      </c>
      <c r="AB20">
        <f>IF($M20=1,L20,"")</f>
        <v>13.9</v>
      </c>
      <c r="AC20">
        <f>IF($M220=0,L220,"")</f>
        <v>7.8</v>
      </c>
    </row>
    <row r="21" spans="2:43" x14ac:dyDescent="0.3">
      <c r="B21">
        <v>128</v>
      </c>
      <c r="C21" t="s">
        <v>64</v>
      </c>
      <c r="D21">
        <v>5</v>
      </c>
      <c r="E21">
        <v>1</v>
      </c>
      <c r="F21">
        <v>5</v>
      </c>
      <c r="G21" s="5">
        <v>37864</v>
      </c>
      <c r="H21">
        <v>12</v>
      </c>
      <c r="I21" t="s">
        <v>69</v>
      </c>
      <c r="J21" s="5">
        <v>3234</v>
      </c>
      <c r="K21">
        <v>12</v>
      </c>
      <c r="L21">
        <f>'KRWSIP_Program_Baseline Data'!H22</f>
        <v>12.5</v>
      </c>
      <c r="M21">
        <v>1</v>
      </c>
      <c r="P21" s="6"/>
      <c r="V21" s="5">
        <f>IF($M21=1,G21,"")</f>
        <v>37864</v>
      </c>
      <c r="W21" s="5">
        <f>IF($M221=0, G221,"")</f>
        <v>32486</v>
      </c>
      <c r="X21" s="5">
        <f>IF($M21=1,J21,"")</f>
        <v>3234</v>
      </c>
      <c r="Y21" s="5">
        <f>IF($M221=0,J221,"")</f>
        <v>5210</v>
      </c>
      <c r="Z21" s="5">
        <f>IF($M21=1,K21,"")</f>
        <v>12</v>
      </c>
      <c r="AA21">
        <f>IF($M221=0,K221,"")</f>
        <v>18</v>
      </c>
      <c r="AB21">
        <f>IF($M21=1,L21,"")</f>
        <v>12.5</v>
      </c>
      <c r="AC21">
        <f>IF($M221=0,L221,"")</f>
        <v>5.8</v>
      </c>
    </row>
    <row r="22" spans="2:43" x14ac:dyDescent="0.3">
      <c r="B22">
        <v>184</v>
      </c>
      <c r="C22" t="s">
        <v>63</v>
      </c>
      <c r="D22">
        <v>3</v>
      </c>
      <c r="E22">
        <v>1</v>
      </c>
      <c r="F22">
        <v>3</v>
      </c>
      <c r="G22" s="5">
        <v>25876</v>
      </c>
      <c r="H22">
        <v>41</v>
      </c>
      <c r="I22" t="s">
        <v>69</v>
      </c>
      <c r="J22" s="5">
        <v>2759</v>
      </c>
      <c r="K22">
        <v>41</v>
      </c>
      <c r="L22">
        <f>'KRWSIP_Program_Baseline Data'!H23</f>
        <v>4.4000000000000004</v>
      </c>
      <c r="M22">
        <v>1</v>
      </c>
      <c r="P22" s="6"/>
      <c r="V22" s="5">
        <f>IF($M22=1,G22,"")</f>
        <v>25876</v>
      </c>
      <c r="W22" s="5">
        <f>IF($M222=0, G222,"")</f>
        <v>30914</v>
      </c>
      <c r="X22" s="5">
        <f>IF($M22=1,J22,"")</f>
        <v>2759</v>
      </c>
      <c r="Y22" s="5">
        <f>IF($M222=0,J222,"")</f>
        <v>4299</v>
      </c>
      <c r="Z22" s="5">
        <f>IF($M22=1,K22,"")</f>
        <v>41</v>
      </c>
      <c r="AA22">
        <f>IF($M222=0,K222,"")</f>
        <v>110</v>
      </c>
      <c r="AB22">
        <f>IF($M22=1,L22,"")</f>
        <v>4.4000000000000004</v>
      </c>
      <c r="AC22">
        <f>IF($M222=0,L222,"")</f>
        <v>10.1</v>
      </c>
    </row>
    <row r="23" spans="2:43" x14ac:dyDescent="0.3">
      <c r="B23">
        <v>76</v>
      </c>
      <c r="C23" t="s">
        <v>64</v>
      </c>
      <c r="D23">
        <v>3</v>
      </c>
      <c r="E23">
        <v>1</v>
      </c>
      <c r="F23">
        <v>3</v>
      </c>
      <c r="G23" s="5">
        <v>33009</v>
      </c>
      <c r="H23">
        <v>35</v>
      </c>
      <c r="I23" t="s">
        <v>67</v>
      </c>
      <c r="J23" s="5">
        <v>3233</v>
      </c>
      <c r="K23">
        <v>35</v>
      </c>
      <c r="L23">
        <f>'KRWSIP_Program_Baseline Data'!H24</f>
        <v>13.8</v>
      </c>
      <c r="M23">
        <v>1</v>
      </c>
      <c r="P23" s="6"/>
      <c r="V23" s="5">
        <f>IF($M23=1,G23,"")</f>
        <v>33009</v>
      </c>
      <c r="W23" s="5">
        <f>IF($M223=0, G223,"")</f>
        <v>25348</v>
      </c>
      <c r="X23" s="5">
        <f>IF($M23=1,J23,"")</f>
        <v>3233</v>
      </c>
      <c r="Y23" s="5">
        <f>IF($M223=0,J223,"")</f>
        <v>2802</v>
      </c>
      <c r="Z23" s="5">
        <f>IF($M23=1,K23,"")</f>
        <v>35</v>
      </c>
      <c r="AA23">
        <f>IF($M223=0,K223,"")</f>
        <v>51</v>
      </c>
      <c r="AB23">
        <f>IF($M23=1,L23,"")</f>
        <v>13.8</v>
      </c>
      <c r="AC23">
        <f>IF($M223=0,L223,"")</f>
        <v>10.199999999999999</v>
      </c>
    </row>
    <row r="24" spans="2:43" x14ac:dyDescent="0.3">
      <c r="B24">
        <v>243</v>
      </c>
      <c r="C24" t="s">
        <v>62</v>
      </c>
      <c r="D24">
        <v>3</v>
      </c>
      <c r="E24">
        <v>1</v>
      </c>
      <c r="F24">
        <v>3</v>
      </c>
      <c r="G24" s="5">
        <v>19474</v>
      </c>
      <c r="H24">
        <v>12</v>
      </c>
      <c r="I24" t="s">
        <v>68</v>
      </c>
      <c r="J24" s="5">
        <v>3820</v>
      </c>
      <c r="K24">
        <v>12</v>
      </c>
      <c r="L24">
        <f>'KRWSIP_Program_Baseline Data'!H25</f>
        <v>14</v>
      </c>
      <c r="M24">
        <v>1</v>
      </c>
      <c r="P24" s="6"/>
      <c r="V24" s="5">
        <f>IF($M24=1,G24,"")</f>
        <v>19474</v>
      </c>
      <c r="W24" s="5">
        <f>IF($M224=0, G224,"")</f>
        <v>30502</v>
      </c>
      <c r="X24" s="5">
        <f>IF($M24=1,J24,"")</f>
        <v>3820</v>
      </c>
      <c r="Y24" s="5">
        <f>IF($M224=0,J224,"")</f>
        <v>6487</v>
      </c>
      <c r="Z24" s="5">
        <f>IF($M24=1,K24,"")</f>
        <v>12</v>
      </c>
      <c r="AA24">
        <f>IF($M224=0,K224,"")</f>
        <v>52</v>
      </c>
      <c r="AB24">
        <f>IF($M24=1,L24,"")</f>
        <v>14</v>
      </c>
      <c r="AC24">
        <f>IF($M224=0,L224,"")</f>
        <v>2.9</v>
      </c>
    </row>
    <row r="25" spans="2:43" x14ac:dyDescent="0.3">
      <c r="B25">
        <v>334</v>
      </c>
      <c r="C25" t="s">
        <v>63</v>
      </c>
      <c r="D25">
        <v>7</v>
      </c>
      <c r="E25">
        <v>1</v>
      </c>
      <c r="F25">
        <v>7</v>
      </c>
      <c r="G25" s="5">
        <v>43280</v>
      </c>
      <c r="H25">
        <v>26</v>
      </c>
      <c r="I25" t="s">
        <v>68</v>
      </c>
      <c r="J25" s="5">
        <v>3412</v>
      </c>
      <c r="K25">
        <v>26</v>
      </c>
      <c r="L25">
        <f>'KRWSIP_Program_Baseline Data'!H26</f>
        <v>14.9</v>
      </c>
      <c r="M25">
        <v>1</v>
      </c>
      <c r="P25" s="6"/>
      <c r="V25" s="5">
        <f>IF($M25=1,G25,"")</f>
        <v>43280</v>
      </c>
      <c r="W25" s="5">
        <f>IF($M225=0, G225,"")</f>
        <v>30446</v>
      </c>
      <c r="X25" s="5">
        <f>IF($M25=1,J25,"")</f>
        <v>3412</v>
      </c>
      <c r="Y25" s="5">
        <f>IF($M225=0,J225,"")</f>
        <v>6464</v>
      </c>
      <c r="Z25" s="5">
        <f>IF($M25=1,K25,"")</f>
        <v>26</v>
      </c>
      <c r="AA25">
        <f>IF($M225=0,K225,"")</f>
        <v>78</v>
      </c>
      <c r="AB25">
        <f>IF($M25=1,L25,"")</f>
        <v>14.9</v>
      </c>
      <c r="AC25">
        <f>IF($M225=0,L225,"")</f>
        <v>8.4</v>
      </c>
    </row>
    <row r="26" spans="2:43" x14ac:dyDescent="0.3">
      <c r="B26">
        <v>98</v>
      </c>
      <c r="C26" t="s">
        <v>64</v>
      </c>
      <c r="D26">
        <v>6</v>
      </c>
      <c r="E26">
        <v>1</v>
      </c>
      <c r="F26">
        <v>6</v>
      </c>
      <c r="G26" s="5">
        <v>14949</v>
      </c>
      <c r="H26">
        <v>7</v>
      </c>
      <c r="I26" t="s">
        <v>67</v>
      </c>
      <c r="J26" s="5">
        <v>2854</v>
      </c>
      <c r="K26">
        <v>7</v>
      </c>
      <c r="L26">
        <f>'KRWSIP_Program_Baseline Data'!H27</f>
        <v>6.4</v>
      </c>
      <c r="M26">
        <v>1</v>
      </c>
      <c r="P26" s="6"/>
      <c r="V26" s="5">
        <f>IF($M26=1,G26,"")</f>
        <v>14949</v>
      </c>
      <c r="W26" s="5">
        <f>IF($M226=0, G226,"")</f>
        <v>19473</v>
      </c>
      <c r="X26" s="5">
        <f>IF($M26=1,J26,"")</f>
        <v>2854</v>
      </c>
      <c r="Y26" s="5">
        <f>IF($M226=0,J226,"")</f>
        <v>4510</v>
      </c>
      <c r="Z26" s="5">
        <f>IF($M26=1,K26,"")</f>
        <v>7</v>
      </c>
      <c r="AA26">
        <f>IF($M226=0,K226,"")</f>
        <v>29</v>
      </c>
      <c r="AB26">
        <f>IF($M26=1,L26,"")</f>
        <v>6.4</v>
      </c>
      <c r="AC26">
        <f>IF($M226=0,L226,"")</f>
        <v>14.8</v>
      </c>
    </row>
    <row r="27" spans="2:43" x14ac:dyDescent="0.3">
      <c r="B27">
        <v>157</v>
      </c>
      <c r="C27" t="s">
        <v>63</v>
      </c>
      <c r="D27">
        <v>7</v>
      </c>
      <c r="E27">
        <v>1</v>
      </c>
      <c r="F27">
        <v>7</v>
      </c>
      <c r="G27" s="5">
        <v>28760</v>
      </c>
      <c r="H27">
        <v>10</v>
      </c>
      <c r="I27" t="s">
        <v>68</v>
      </c>
      <c r="J27" s="5">
        <v>3390</v>
      </c>
      <c r="K27">
        <v>10</v>
      </c>
      <c r="L27">
        <f>'KRWSIP_Program_Baseline Data'!H28</f>
        <v>11.6</v>
      </c>
      <c r="M27">
        <v>1</v>
      </c>
      <c r="P27" s="6"/>
      <c r="V27" s="5">
        <f>IF($M27=1,G27,"")</f>
        <v>28760</v>
      </c>
      <c r="W27" s="5">
        <f>IF($M227=0, G227,"")</f>
        <v>23706</v>
      </c>
      <c r="X27" s="5">
        <f>IF($M27=1,J27,"")</f>
        <v>3390</v>
      </c>
      <c r="Y27" s="5">
        <f>IF($M227=0,J227,"")</f>
        <v>4879</v>
      </c>
      <c r="Z27" s="5">
        <f>IF($M27=1,K27,"")</f>
        <v>10</v>
      </c>
      <c r="AA27">
        <f>IF($M227=0,K227,"")</f>
        <v>59</v>
      </c>
      <c r="AB27">
        <f>IF($M27=1,L27,"")</f>
        <v>11.6</v>
      </c>
      <c r="AC27">
        <f>IF($M227=0,L227,"")</f>
        <v>11.5</v>
      </c>
      <c r="AG27" s="9"/>
      <c r="AH27" s="9"/>
      <c r="AI27" s="9"/>
      <c r="AO27" s="9"/>
      <c r="AP27" s="9"/>
      <c r="AQ27" s="9"/>
    </row>
    <row r="28" spans="2:43" x14ac:dyDescent="0.3">
      <c r="B28">
        <v>341</v>
      </c>
      <c r="C28" t="s">
        <v>63</v>
      </c>
      <c r="D28">
        <v>2</v>
      </c>
      <c r="E28">
        <v>1</v>
      </c>
      <c r="F28">
        <v>2</v>
      </c>
      <c r="G28" s="5">
        <v>26976</v>
      </c>
      <c r="H28">
        <v>22</v>
      </c>
      <c r="I28" t="s">
        <v>68</v>
      </c>
      <c r="J28" s="5">
        <v>3119</v>
      </c>
      <c r="K28">
        <v>22</v>
      </c>
      <c r="L28">
        <f>'KRWSIP_Program_Baseline Data'!H29</f>
        <v>9.8000000000000007</v>
      </c>
      <c r="M28">
        <v>1</v>
      </c>
      <c r="P28" s="6"/>
      <c r="V28" s="5">
        <f>IF($M28=1,G28,"")</f>
        <v>26976</v>
      </c>
      <c r="W28" s="5">
        <f>IF($M228=0, G228,"")</f>
        <v>16949</v>
      </c>
      <c r="X28" s="5">
        <f>IF($M28=1,J28,"")</f>
        <v>3119</v>
      </c>
      <c r="Y28" s="5">
        <f>IF($M228=0,J228,"")</f>
        <v>3355</v>
      </c>
      <c r="Z28" s="5">
        <f>IF($M28=1,K28,"")</f>
        <v>22</v>
      </c>
      <c r="AA28">
        <f>IF($M228=0,K228,"")</f>
        <v>33</v>
      </c>
      <c r="AB28">
        <f>IF($M28=1,L28,"")</f>
        <v>9.8000000000000007</v>
      </c>
      <c r="AC28">
        <f>IF($M228=0,L228,"")</f>
        <v>7.2</v>
      </c>
      <c r="AG28" s="9"/>
      <c r="AH28" s="9"/>
      <c r="AI28" s="9"/>
      <c r="AO28" s="9"/>
      <c r="AP28" s="9"/>
      <c r="AQ28" s="9"/>
    </row>
    <row r="29" spans="2:43" x14ac:dyDescent="0.3">
      <c r="B29">
        <v>36</v>
      </c>
      <c r="C29" t="s">
        <v>65</v>
      </c>
      <c r="D29">
        <v>7</v>
      </c>
      <c r="E29">
        <v>1</v>
      </c>
      <c r="F29">
        <v>7</v>
      </c>
      <c r="G29" s="5">
        <v>25861</v>
      </c>
      <c r="H29">
        <v>21</v>
      </c>
      <c r="I29" t="s">
        <v>68</v>
      </c>
      <c r="J29" s="5">
        <v>3826</v>
      </c>
      <c r="K29">
        <v>21</v>
      </c>
      <c r="L29">
        <f>'KRWSIP_Program_Baseline Data'!H30</f>
        <v>1.3</v>
      </c>
      <c r="M29">
        <v>1</v>
      </c>
      <c r="P29" s="6"/>
      <c r="V29" s="5">
        <f>IF($M29=1,G29,"")</f>
        <v>25861</v>
      </c>
      <c r="W29" s="5">
        <f>IF($M229=0, G229,"")</f>
        <v>30735</v>
      </c>
      <c r="X29" s="5">
        <f>IF($M29=1,J29,"")</f>
        <v>3826</v>
      </c>
      <c r="Y29" s="5">
        <f>IF($M229=0,J229,"")</f>
        <v>5281</v>
      </c>
      <c r="Z29" s="5">
        <f>IF($M29=1,K29,"")</f>
        <v>21</v>
      </c>
      <c r="AA29">
        <f>IF($M229=0,K229,"")</f>
        <v>117</v>
      </c>
      <c r="AB29">
        <f>IF($M29=1,L29,"")</f>
        <v>1.3</v>
      </c>
      <c r="AC29">
        <f>IF($M229=0,L229,"")</f>
        <v>3.8</v>
      </c>
      <c r="AG29" s="9"/>
      <c r="AH29" s="9"/>
      <c r="AI29" s="9"/>
      <c r="AO29" s="9"/>
      <c r="AP29" s="9"/>
      <c r="AQ29" s="9"/>
    </row>
    <row r="30" spans="2:43" x14ac:dyDescent="0.3">
      <c r="B30">
        <v>171</v>
      </c>
      <c r="C30" t="s">
        <v>62</v>
      </c>
      <c r="D30">
        <v>3</v>
      </c>
      <c r="E30">
        <v>1</v>
      </c>
      <c r="F30">
        <v>3</v>
      </c>
      <c r="G30" s="5">
        <v>49253</v>
      </c>
      <c r="H30">
        <v>24</v>
      </c>
      <c r="I30" t="s">
        <v>67</v>
      </c>
      <c r="J30" s="5">
        <v>3531</v>
      </c>
      <c r="K30">
        <v>24</v>
      </c>
      <c r="L30">
        <f>'KRWSIP_Program_Baseline Data'!H31</f>
        <v>10.4</v>
      </c>
      <c r="M30">
        <v>1</v>
      </c>
      <c r="P30" s="6"/>
      <c r="V30" s="5">
        <f>IF($M30=1,G30,"")</f>
        <v>49253</v>
      </c>
      <c r="W30" s="5">
        <f>IF($M230=0, G230,"")</f>
        <v>21453</v>
      </c>
      <c r="X30" s="5">
        <f>IF($M30=1,J30,"")</f>
        <v>3531</v>
      </c>
      <c r="Y30" s="5">
        <f>IF($M230=0,J230,"")</f>
        <v>6206</v>
      </c>
      <c r="Z30" s="5">
        <f>IF($M30=1,K30,"")</f>
        <v>24</v>
      </c>
      <c r="AA30">
        <f>IF($M230=0,K230,"")</f>
        <v>84</v>
      </c>
      <c r="AB30">
        <f>IF($M30=1,L30,"")</f>
        <v>10.4</v>
      </c>
      <c r="AC30">
        <f>IF($M230=0,L230,"")</f>
        <v>2</v>
      </c>
      <c r="AG30" s="9"/>
      <c r="AH30" s="9"/>
      <c r="AI30" s="9"/>
      <c r="AO30" s="9"/>
      <c r="AP30" s="9"/>
      <c r="AQ30" s="9"/>
    </row>
    <row r="31" spans="2:43" x14ac:dyDescent="0.3">
      <c r="B31">
        <v>299</v>
      </c>
      <c r="C31" t="s">
        <v>62</v>
      </c>
      <c r="D31">
        <v>6</v>
      </c>
      <c r="E31">
        <v>1</v>
      </c>
      <c r="F31">
        <v>6</v>
      </c>
      <c r="G31" s="5">
        <v>23567</v>
      </c>
      <c r="H31">
        <v>11</v>
      </c>
      <c r="I31" t="s">
        <v>67</v>
      </c>
      <c r="J31" s="5">
        <v>3346</v>
      </c>
      <c r="K31">
        <v>11</v>
      </c>
      <c r="L31">
        <f>'KRWSIP_Program_Baseline Data'!H32</f>
        <v>8.5</v>
      </c>
      <c r="M31">
        <v>1</v>
      </c>
      <c r="P31" s="6"/>
      <c r="V31" s="5">
        <f>IF($M31=1,G31,"")</f>
        <v>23567</v>
      </c>
      <c r="W31" s="5">
        <f>IF($M231=0, G231,"")</f>
        <v>27934</v>
      </c>
      <c r="X31" s="5">
        <f>IF($M31=1,J31,"")</f>
        <v>3346</v>
      </c>
      <c r="Y31" s="5">
        <f>IF($M231=0,J231,"")</f>
        <v>3830</v>
      </c>
      <c r="Z31" s="5">
        <f>IF($M31=1,K31,"")</f>
        <v>11</v>
      </c>
      <c r="AA31">
        <f>IF($M231=0,K231,"")</f>
        <v>101</v>
      </c>
      <c r="AB31">
        <f>IF($M31=1,L31,"")</f>
        <v>8.5</v>
      </c>
      <c r="AC31">
        <f>IF($M231=0,L231,"")</f>
        <v>10.7</v>
      </c>
      <c r="AG31" s="9"/>
      <c r="AH31" s="9"/>
      <c r="AI31" s="9"/>
      <c r="AO31" s="9"/>
      <c r="AP31" s="9"/>
      <c r="AQ31" s="9"/>
    </row>
    <row r="32" spans="2:43" x14ac:dyDescent="0.3">
      <c r="B32">
        <v>381</v>
      </c>
      <c r="C32" t="s">
        <v>65</v>
      </c>
      <c r="D32">
        <v>7</v>
      </c>
      <c r="E32">
        <v>1</v>
      </c>
      <c r="F32">
        <v>7</v>
      </c>
      <c r="G32" s="5">
        <v>31958</v>
      </c>
      <c r="H32">
        <v>10</v>
      </c>
      <c r="I32" t="s">
        <v>67</v>
      </c>
      <c r="J32" s="5">
        <v>3941</v>
      </c>
      <c r="K32">
        <v>10</v>
      </c>
      <c r="L32">
        <f>'KRWSIP_Program_Baseline Data'!H33</f>
        <v>14.1</v>
      </c>
      <c r="M32">
        <v>1</v>
      </c>
      <c r="P32" s="6"/>
      <c r="V32" s="5">
        <f>IF($M32=1,G32,"")</f>
        <v>31958</v>
      </c>
      <c r="W32" s="5">
        <f>IF($M232=0, G232,"")</f>
        <v>25667</v>
      </c>
      <c r="X32" s="5">
        <f>IF($M32=1,J32,"")</f>
        <v>3941</v>
      </c>
      <c r="Y32" s="5">
        <f>IF($M232=0,J232,"")</f>
        <v>5030</v>
      </c>
      <c r="Z32" s="5">
        <f>IF($M32=1,K32,"")</f>
        <v>10</v>
      </c>
      <c r="AA32">
        <f>IF($M232=0,K232,"")</f>
        <v>71</v>
      </c>
      <c r="AB32">
        <f>IF($M32=1,L32,"")</f>
        <v>14.1</v>
      </c>
      <c r="AC32">
        <f>IF($M232=0,L232,"")</f>
        <v>14.4</v>
      </c>
      <c r="AG32" s="9"/>
      <c r="AH32" s="9"/>
      <c r="AI32" s="9"/>
      <c r="AO32" s="9"/>
      <c r="AP32" s="9"/>
      <c r="AQ32" s="9"/>
    </row>
    <row r="33" spans="2:43" ht="15" thickBot="1" x14ac:dyDescent="0.35">
      <c r="B33">
        <v>283</v>
      </c>
      <c r="C33" t="s">
        <v>65</v>
      </c>
      <c r="D33">
        <v>5</v>
      </c>
      <c r="E33">
        <v>1</v>
      </c>
      <c r="F33">
        <v>5</v>
      </c>
      <c r="G33" s="5">
        <v>28859</v>
      </c>
      <c r="H33">
        <v>36</v>
      </c>
      <c r="I33" t="s">
        <v>66</v>
      </c>
      <c r="J33" s="5">
        <v>3708</v>
      </c>
      <c r="K33">
        <v>36</v>
      </c>
      <c r="L33">
        <f>'KRWSIP_Program_Baseline Data'!H34</f>
        <v>12.3</v>
      </c>
      <c r="M33">
        <v>1</v>
      </c>
      <c r="P33" s="6"/>
      <c r="V33" s="5">
        <f>IF($M33=1,G33,"")</f>
        <v>28859</v>
      </c>
      <c r="W33" s="5">
        <f>IF($M233=0, G233,"")</f>
        <v>30572</v>
      </c>
      <c r="X33" s="5">
        <f>IF($M33=1,J33,"")</f>
        <v>3708</v>
      </c>
      <c r="Y33" s="5">
        <f>IF($M233=0,J233,"")</f>
        <v>5067</v>
      </c>
      <c r="Z33" s="5">
        <f>IF($M33=1,K33,"")</f>
        <v>36</v>
      </c>
      <c r="AA33">
        <f>IF($M233=0,K233,"")</f>
        <v>84</v>
      </c>
      <c r="AB33">
        <f>IF($M33=1,L33,"")</f>
        <v>12.3</v>
      </c>
      <c r="AC33">
        <f>IF($M233=0,L233,"")</f>
        <v>9.8000000000000007</v>
      </c>
      <c r="AG33" s="10"/>
      <c r="AH33" s="10"/>
      <c r="AI33" s="10"/>
      <c r="AO33" s="9"/>
      <c r="AP33" s="9"/>
      <c r="AQ33" s="9"/>
    </row>
    <row r="34" spans="2:43" x14ac:dyDescent="0.3">
      <c r="B34">
        <v>3</v>
      </c>
      <c r="C34" t="s">
        <v>65</v>
      </c>
      <c r="D34">
        <v>4</v>
      </c>
      <c r="E34">
        <v>1</v>
      </c>
      <c r="F34">
        <v>4</v>
      </c>
      <c r="G34" s="5">
        <v>16168</v>
      </c>
      <c r="H34">
        <v>33</v>
      </c>
      <c r="I34" t="s">
        <v>66</v>
      </c>
      <c r="J34" s="5">
        <v>2986</v>
      </c>
      <c r="K34">
        <v>33</v>
      </c>
      <c r="L34">
        <f>'KRWSIP_Program_Baseline Data'!H35</f>
        <v>6.2</v>
      </c>
      <c r="M34">
        <v>1</v>
      </c>
      <c r="P34" s="6"/>
      <c r="V34" s="5">
        <f>IF($M34=1,G34,"")</f>
        <v>16168</v>
      </c>
      <c r="W34" s="5">
        <f>IF($M234=0, G234,"")</f>
        <v>44501</v>
      </c>
      <c r="X34" s="5">
        <f>IF($M34=1,J34,"")</f>
        <v>2986</v>
      </c>
      <c r="Y34" s="5">
        <f>IF($M234=0,J234,"")</f>
        <v>4224</v>
      </c>
      <c r="Z34" s="5">
        <f>IF($M34=1,K34,"")</f>
        <v>33</v>
      </c>
      <c r="AA34">
        <f>IF($M234=0,K234,"")</f>
        <v>73</v>
      </c>
      <c r="AB34">
        <f>IF($M34=1,L34,"")</f>
        <v>6.2</v>
      </c>
      <c r="AC34">
        <f>IF($M234=0,L234,"")</f>
        <v>9.3000000000000007</v>
      </c>
      <c r="AO34" s="9"/>
      <c r="AP34" s="9"/>
      <c r="AQ34" s="9"/>
    </row>
    <row r="35" spans="2:43" x14ac:dyDescent="0.3">
      <c r="B35">
        <v>357</v>
      </c>
      <c r="C35" t="s">
        <v>62</v>
      </c>
      <c r="D35">
        <v>7</v>
      </c>
      <c r="E35">
        <v>1</v>
      </c>
      <c r="F35">
        <v>7</v>
      </c>
      <c r="G35" s="5">
        <v>37508</v>
      </c>
      <c r="H35">
        <v>18</v>
      </c>
      <c r="I35" t="s">
        <v>68</v>
      </c>
      <c r="J35" s="5">
        <v>3781</v>
      </c>
      <c r="K35">
        <v>18</v>
      </c>
      <c r="L35">
        <f>'KRWSIP_Program_Baseline Data'!H36</f>
        <v>11.3</v>
      </c>
      <c r="M35">
        <v>1</v>
      </c>
      <c r="P35" s="6"/>
      <c r="V35" s="5">
        <f>IF($M35=1,G35,"")</f>
        <v>37508</v>
      </c>
      <c r="W35" s="5">
        <f>IF($M235=0, G235,"")</f>
        <v>24688</v>
      </c>
      <c r="X35" s="5">
        <f>IF($M35=1,J35,"")</f>
        <v>3781</v>
      </c>
      <c r="Y35" s="5">
        <f>IF($M235=0,J235,"")</f>
        <v>2862</v>
      </c>
      <c r="Z35" s="5">
        <f>IF($M35=1,K35,"")</f>
        <v>18</v>
      </c>
      <c r="AA35">
        <f>IF($M235=0,K235,"")</f>
        <v>96</v>
      </c>
      <c r="AB35">
        <f>IF($M35=1,L35,"")</f>
        <v>11.3</v>
      </c>
      <c r="AC35">
        <f>IF($M235=0,L235,"")</f>
        <v>0.7</v>
      </c>
      <c r="AO35" s="9"/>
      <c r="AP35" s="9"/>
      <c r="AQ35" s="9"/>
    </row>
    <row r="36" spans="2:43" ht="15" thickBot="1" x14ac:dyDescent="0.35">
      <c r="B36">
        <v>70</v>
      </c>
      <c r="C36" t="s">
        <v>64</v>
      </c>
      <c r="D36">
        <v>8</v>
      </c>
      <c r="E36">
        <v>1</v>
      </c>
      <c r="F36">
        <v>8</v>
      </c>
      <c r="G36" s="5">
        <v>44355</v>
      </c>
      <c r="H36">
        <v>19</v>
      </c>
      <c r="I36" t="s">
        <v>68</v>
      </c>
      <c r="J36" s="5">
        <v>3636</v>
      </c>
      <c r="K36">
        <v>19</v>
      </c>
      <c r="L36">
        <f>'KRWSIP_Program_Baseline Data'!H37</f>
        <v>8.6999999999999993</v>
      </c>
      <c r="M36">
        <v>1</v>
      </c>
      <c r="P36" s="6"/>
      <c r="V36" s="5">
        <f>IF($M36=1,G36,"")</f>
        <v>44355</v>
      </c>
      <c r="W36" s="5">
        <f>IF($M236=0, G236,"")</f>
        <v>30721</v>
      </c>
      <c r="X36" s="5">
        <f>IF($M36=1,J36,"")</f>
        <v>3636</v>
      </c>
      <c r="Y36" s="5">
        <f>IF($M236=0,J236,"")</f>
        <v>4743</v>
      </c>
      <c r="Z36" s="5">
        <f>IF($M36=1,K36,"")</f>
        <v>19</v>
      </c>
      <c r="AA36">
        <f>IF($M236=0,K236,"")</f>
        <v>85</v>
      </c>
      <c r="AB36">
        <f>IF($M36=1,L36,"")</f>
        <v>8.6999999999999993</v>
      </c>
      <c r="AC36">
        <f>IF($M236=0,L236,"")</f>
        <v>14.7</v>
      </c>
      <c r="AO36" s="10"/>
      <c r="AP36" s="10"/>
      <c r="AQ36" s="10"/>
    </row>
    <row r="37" spans="2:43" x14ac:dyDescent="0.3">
      <c r="B37">
        <v>158</v>
      </c>
      <c r="C37" t="s">
        <v>63</v>
      </c>
      <c r="D37">
        <v>7</v>
      </c>
      <c r="E37">
        <v>1</v>
      </c>
      <c r="F37">
        <v>7</v>
      </c>
      <c r="G37" s="5">
        <v>33293</v>
      </c>
      <c r="H37">
        <v>31</v>
      </c>
      <c r="I37" t="s">
        <v>69</v>
      </c>
      <c r="J37" s="5">
        <v>3166</v>
      </c>
      <c r="K37">
        <v>31</v>
      </c>
      <c r="L37">
        <f>'KRWSIP_Program_Baseline Data'!H38</f>
        <v>1.7</v>
      </c>
      <c r="M37">
        <v>1</v>
      </c>
      <c r="P37" s="6"/>
      <c r="V37" s="5">
        <f>IF($M37=1,G37,"")</f>
        <v>33293</v>
      </c>
      <c r="W37" s="5">
        <f>IF($M237=0, G237,"")</f>
        <v>31459</v>
      </c>
      <c r="X37" s="5">
        <f>IF($M37=1,J37,"")</f>
        <v>3166</v>
      </c>
      <c r="Y37" s="5">
        <f>IF($M237=0,J237,"")</f>
        <v>4497</v>
      </c>
      <c r="Z37" s="5">
        <f>IF($M37=1,K37,"")</f>
        <v>31</v>
      </c>
      <c r="AA37">
        <f>IF($M237=0,K237,"")</f>
        <v>80</v>
      </c>
      <c r="AB37">
        <f>IF($M37=1,L37,"")</f>
        <v>1.7</v>
      </c>
      <c r="AC37">
        <f>IF($M237=0,L237,"")</f>
        <v>7.4</v>
      </c>
    </row>
    <row r="38" spans="2:43" x14ac:dyDescent="0.3">
      <c r="B38">
        <v>105</v>
      </c>
      <c r="C38" t="s">
        <v>63</v>
      </c>
      <c r="D38">
        <v>6</v>
      </c>
      <c r="E38">
        <v>1</v>
      </c>
      <c r="F38">
        <v>6</v>
      </c>
      <c r="G38" s="5">
        <v>30523</v>
      </c>
      <c r="H38">
        <v>34</v>
      </c>
      <c r="I38" t="s">
        <v>69</v>
      </c>
      <c r="J38" s="5">
        <v>3626</v>
      </c>
      <c r="K38">
        <v>34</v>
      </c>
      <c r="L38">
        <f>'KRWSIP_Program_Baseline Data'!H39</f>
        <v>3.1</v>
      </c>
      <c r="M38">
        <v>1</v>
      </c>
      <c r="P38" s="6"/>
      <c r="V38" s="5">
        <f>IF($M38=1,G38,"")</f>
        <v>30523</v>
      </c>
      <c r="W38" s="5">
        <f>IF($M238=0, G238,"")</f>
        <v>30781</v>
      </c>
      <c r="X38" s="5">
        <f>IF($M38=1,J38,"")</f>
        <v>3626</v>
      </c>
      <c r="Y38" s="5">
        <f>IF($M238=0,J238,"")</f>
        <v>6881</v>
      </c>
      <c r="Z38" s="5">
        <f>IF($M38=1,K38,"")</f>
        <v>34</v>
      </c>
      <c r="AA38">
        <f>IF($M238=0,K238,"")</f>
        <v>109</v>
      </c>
      <c r="AB38">
        <f>IF($M38=1,L38,"")</f>
        <v>3.1</v>
      </c>
      <c r="AC38">
        <f>IF($M238=0,L238,"")</f>
        <v>8.9</v>
      </c>
    </row>
    <row r="39" spans="2:43" x14ac:dyDescent="0.3">
      <c r="B39">
        <v>272</v>
      </c>
      <c r="C39" t="s">
        <v>64</v>
      </c>
      <c r="D39">
        <v>5</v>
      </c>
      <c r="E39">
        <v>1</v>
      </c>
      <c r="F39">
        <v>5</v>
      </c>
      <c r="G39" s="5">
        <v>29715</v>
      </c>
      <c r="H39">
        <v>34</v>
      </c>
      <c r="I39" t="s">
        <v>67</v>
      </c>
      <c r="J39" s="5">
        <v>3332</v>
      </c>
      <c r="K39">
        <v>34</v>
      </c>
      <c r="L39">
        <f>'KRWSIP_Program_Baseline Data'!H40</f>
        <v>8.1999999999999993</v>
      </c>
      <c r="M39">
        <v>1</v>
      </c>
      <c r="P39" s="6"/>
      <c r="V39" s="5">
        <f>IF($M39=1,G39,"")</f>
        <v>29715</v>
      </c>
      <c r="W39" s="5">
        <f>IF($M239=0, G239,"")</f>
        <v>24452</v>
      </c>
      <c r="X39" s="5">
        <f>IF($M39=1,J39,"")</f>
        <v>3332</v>
      </c>
      <c r="Y39" s="5">
        <f>IF($M239=0,J239,"")</f>
        <v>2404</v>
      </c>
      <c r="Z39" s="5">
        <f>IF($M39=1,K39,"")</f>
        <v>34</v>
      </c>
      <c r="AA39">
        <f>IF($M239=0,K239,"")</f>
        <v>63</v>
      </c>
      <c r="AB39">
        <f>IF($M39=1,L39,"")</f>
        <v>8.1999999999999993</v>
      </c>
      <c r="AC39">
        <f>IF($M239=0,L239,"")</f>
        <v>12.3</v>
      </c>
    </row>
    <row r="40" spans="2:43" x14ac:dyDescent="0.3">
      <c r="B40">
        <v>321</v>
      </c>
      <c r="C40" t="s">
        <v>64</v>
      </c>
      <c r="D40">
        <v>3</v>
      </c>
      <c r="E40">
        <v>1</v>
      </c>
      <c r="F40">
        <v>3</v>
      </c>
      <c r="G40" s="5">
        <v>33894</v>
      </c>
      <c r="H40">
        <v>18</v>
      </c>
      <c r="I40" t="s">
        <v>67</v>
      </c>
      <c r="J40" s="5">
        <v>2342</v>
      </c>
      <c r="K40">
        <v>18</v>
      </c>
      <c r="L40">
        <f>'KRWSIP_Program_Baseline Data'!H41</f>
        <v>12.9</v>
      </c>
      <c r="M40">
        <v>1</v>
      </c>
      <c r="P40" s="6"/>
      <c r="V40" s="5">
        <f>IF($M40=1,G40,"")</f>
        <v>33894</v>
      </c>
      <c r="W40" s="5">
        <f>IF($M240=0, G240,"")</f>
        <v>29348</v>
      </c>
      <c r="X40" s="5">
        <f>IF($M40=1,J40,"")</f>
        <v>2342</v>
      </c>
      <c r="Y40" s="5">
        <f>IF($M240=0,J240,"")</f>
        <v>3779</v>
      </c>
      <c r="Z40" s="5">
        <f>IF($M40=1,K40,"")</f>
        <v>18</v>
      </c>
      <c r="AA40">
        <f>IF($M240=0,K240,"")</f>
        <v>115</v>
      </c>
      <c r="AB40">
        <f>IF($M40=1,L40,"")</f>
        <v>12.9</v>
      </c>
      <c r="AC40">
        <f>IF($M240=0,L240,"")</f>
        <v>8.6</v>
      </c>
    </row>
    <row r="41" spans="2:43" x14ac:dyDescent="0.3">
      <c r="B41">
        <v>153</v>
      </c>
      <c r="C41" t="s">
        <v>63</v>
      </c>
      <c r="D41">
        <v>8</v>
      </c>
      <c r="E41">
        <v>1</v>
      </c>
      <c r="F41">
        <v>8</v>
      </c>
      <c r="G41" s="5">
        <v>21836</v>
      </c>
      <c r="H41">
        <v>44</v>
      </c>
      <c r="I41" t="s">
        <v>66</v>
      </c>
      <c r="J41" s="5">
        <v>4928</v>
      </c>
      <c r="K41">
        <v>44</v>
      </c>
      <c r="L41">
        <f>'KRWSIP_Program_Baseline Data'!H42</f>
        <v>10.6</v>
      </c>
      <c r="M41">
        <v>1</v>
      </c>
      <c r="P41" s="6"/>
      <c r="V41" s="5">
        <f>IF($M41=1,G41,"")</f>
        <v>21836</v>
      </c>
      <c r="W41" s="5">
        <f>IF($M241=0, G241,"")</f>
        <v>32121</v>
      </c>
      <c r="X41" s="5">
        <f>IF($M41=1,J41,"")</f>
        <v>4928</v>
      </c>
      <c r="Y41" s="5">
        <f>IF($M241=0,J241,"")</f>
        <v>3285</v>
      </c>
      <c r="Z41" s="5">
        <f>IF($M41=1,K41,"")</f>
        <v>44</v>
      </c>
      <c r="AA41">
        <f>IF($M241=0,K241,"")</f>
        <v>87</v>
      </c>
      <c r="AB41">
        <f>IF($M41=1,L41,"")</f>
        <v>10.6</v>
      </c>
      <c r="AC41">
        <f>IF($M241=0,L241,"")</f>
        <v>14.1</v>
      </c>
    </row>
    <row r="42" spans="2:43" x14ac:dyDescent="0.3">
      <c r="B42">
        <v>266</v>
      </c>
      <c r="C42" t="s">
        <v>65</v>
      </c>
      <c r="D42">
        <v>6</v>
      </c>
      <c r="E42">
        <v>1</v>
      </c>
      <c r="F42">
        <v>6</v>
      </c>
      <c r="G42" s="5">
        <v>19918</v>
      </c>
      <c r="H42">
        <v>38</v>
      </c>
      <c r="I42" t="s">
        <v>67</v>
      </c>
      <c r="J42" s="5">
        <v>4302</v>
      </c>
      <c r="K42">
        <v>38</v>
      </c>
      <c r="L42">
        <f>'KRWSIP_Program_Baseline Data'!H43</f>
        <v>14.1</v>
      </c>
      <c r="M42">
        <v>1</v>
      </c>
      <c r="P42" s="6"/>
      <c r="V42" s="5">
        <f>IF($M42=1,G42,"")</f>
        <v>19918</v>
      </c>
      <c r="W42" s="5">
        <f>IF($M242=0, G242,"")</f>
        <v>27501</v>
      </c>
      <c r="X42" s="5">
        <f>IF($M42=1,J42,"")</f>
        <v>4302</v>
      </c>
      <c r="Y42" s="5">
        <f>IF($M242=0,J242,"")</f>
        <v>2934</v>
      </c>
      <c r="Z42" s="5">
        <f>IF($M42=1,K42,"")</f>
        <v>38</v>
      </c>
      <c r="AA42">
        <f>IF($M242=0,K242,"")</f>
        <v>56</v>
      </c>
      <c r="AB42">
        <f>IF($M42=1,L42,"")</f>
        <v>14.1</v>
      </c>
      <c r="AC42">
        <f>IF($M242=0,L242,"")</f>
        <v>8.5</v>
      </c>
    </row>
    <row r="43" spans="2:43" x14ac:dyDescent="0.3">
      <c r="B43">
        <v>208</v>
      </c>
      <c r="C43" t="s">
        <v>62</v>
      </c>
      <c r="D43">
        <v>4</v>
      </c>
      <c r="E43">
        <v>1</v>
      </c>
      <c r="F43">
        <v>4</v>
      </c>
      <c r="G43" s="5">
        <v>41914</v>
      </c>
      <c r="H43">
        <v>20</v>
      </c>
      <c r="I43" t="s">
        <v>67</v>
      </c>
      <c r="J43" s="5">
        <v>3485</v>
      </c>
      <c r="K43">
        <v>20</v>
      </c>
      <c r="L43">
        <f>'KRWSIP_Program_Baseline Data'!H44</f>
        <v>13.6</v>
      </c>
      <c r="M43">
        <v>1</v>
      </c>
      <c r="P43" s="6"/>
      <c r="V43" s="5">
        <f>IF($M43=1,G43,"")</f>
        <v>41914</v>
      </c>
      <c r="W43" s="5">
        <f>IF($M243=0, G243,"")</f>
        <v>25656</v>
      </c>
      <c r="X43" s="5">
        <f>IF($M43=1,J43,"")</f>
        <v>3485</v>
      </c>
      <c r="Y43" s="5">
        <f>IF($M243=0,J243,"")</f>
        <v>3376</v>
      </c>
      <c r="Z43" s="5">
        <f>IF($M43=1,K43,"")</f>
        <v>20</v>
      </c>
      <c r="AA43">
        <f>IF($M243=0,K243,"")</f>
        <v>17</v>
      </c>
      <c r="AB43">
        <f>IF($M43=1,L43,"")</f>
        <v>13.6</v>
      </c>
      <c r="AC43">
        <f>IF($M243=0,L243,"")</f>
        <v>8</v>
      </c>
    </row>
    <row r="44" spans="2:43" x14ac:dyDescent="0.3">
      <c r="B44">
        <v>11</v>
      </c>
      <c r="C44" t="s">
        <v>65</v>
      </c>
      <c r="D44">
        <v>2</v>
      </c>
      <c r="E44">
        <v>1</v>
      </c>
      <c r="F44">
        <v>2</v>
      </c>
      <c r="G44" s="5">
        <v>47811</v>
      </c>
      <c r="H44">
        <v>41</v>
      </c>
      <c r="I44" t="s">
        <v>66</v>
      </c>
      <c r="J44" s="5">
        <v>3233</v>
      </c>
      <c r="K44">
        <v>41</v>
      </c>
      <c r="L44">
        <f>'KRWSIP_Program_Baseline Data'!H45</f>
        <v>13.9</v>
      </c>
      <c r="M44">
        <v>1</v>
      </c>
      <c r="P44" s="6"/>
      <c r="V44" s="5">
        <f>IF($M44=1,G44,"")</f>
        <v>47811</v>
      </c>
      <c r="W44" s="5">
        <f>IF($M244=0, G244,"")</f>
        <v>28111</v>
      </c>
      <c r="X44" s="5">
        <f>IF($M44=1,J44,"")</f>
        <v>3233</v>
      </c>
      <c r="Y44" s="5">
        <f>IF($M244=0,J244,"")</f>
        <v>4652</v>
      </c>
      <c r="Z44" s="5">
        <f>IF($M44=1,K44,"")</f>
        <v>41</v>
      </c>
      <c r="AA44">
        <f>IF($M244=0,K244,"")</f>
        <v>100</v>
      </c>
      <c r="AB44">
        <f>IF($M44=1,L44,"")</f>
        <v>13.9</v>
      </c>
      <c r="AC44">
        <f>IF($M244=0,L244,"")</f>
        <v>2</v>
      </c>
    </row>
    <row r="45" spans="2:43" x14ac:dyDescent="0.3">
      <c r="B45">
        <v>361</v>
      </c>
      <c r="C45" t="s">
        <v>64</v>
      </c>
      <c r="D45">
        <v>3</v>
      </c>
      <c r="E45">
        <v>1</v>
      </c>
      <c r="F45">
        <v>3</v>
      </c>
      <c r="G45" s="5">
        <v>31174</v>
      </c>
      <c r="H45">
        <v>33</v>
      </c>
      <c r="I45" t="s">
        <v>67</v>
      </c>
      <c r="J45" s="5">
        <v>2830</v>
      </c>
      <c r="K45">
        <v>33</v>
      </c>
      <c r="L45">
        <f>'KRWSIP_Program_Baseline Data'!H46</f>
        <v>2.2999999999999998</v>
      </c>
      <c r="M45">
        <v>1</v>
      </c>
      <c r="P45" s="6"/>
      <c r="V45" s="5">
        <f>IF($M45=1,G45,"")</f>
        <v>31174</v>
      </c>
      <c r="W45" s="5">
        <f>IF($M245=0, G245,"")</f>
        <v>27997</v>
      </c>
      <c r="X45" s="5">
        <f>IF($M45=1,J45,"")</f>
        <v>2830</v>
      </c>
      <c r="Y45" s="5">
        <f>IF($M245=0,J245,"")</f>
        <v>5067</v>
      </c>
      <c r="Z45" s="5">
        <f>IF($M45=1,K45,"")</f>
        <v>33</v>
      </c>
      <c r="AA45">
        <f>IF($M245=0,K245,"")</f>
        <v>40</v>
      </c>
      <c r="AB45">
        <f>IF($M45=1,L45,"")</f>
        <v>2.2999999999999998</v>
      </c>
      <c r="AC45">
        <f>IF($M245=0,L245,"")</f>
        <v>4.9000000000000004</v>
      </c>
    </row>
    <row r="46" spans="2:43" x14ac:dyDescent="0.3">
      <c r="B46">
        <v>282</v>
      </c>
      <c r="C46" t="s">
        <v>63</v>
      </c>
      <c r="D46">
        <v>7</v>
      </c>
      <c r="E46">
        <v>1</v>
      </c>
      <c r="F46">
        <v>7</v>
      </c>
      <c r="G46" s="5">
        <v>39559</v>
      </c>
      <c r="H46">
        <v>23</v>
      </c>
      <c r="I46" t="s">
        <v>67</v>
      </c>
      <c r="J46" s="5">
        <v>3933</v>
      </c>
      <c r="K46">
        <v>23</v>
      </c>
      <c r="L46">
        <f>'KRWSIP_Program_Baseline Data'!H47</f>
        <v>3.8</v>
      </c>
      <c r="M46">
        <v>1</v>
      </c>
      <c r="P46" s="6"/>
      <c r="V46" s="5">
        <f>IF($M46=1,G46,"")</f>
        <v>39559</v>
      </c>
      <c r="W46" s="5">
        <f>IF($M246=0, G246,"")</f>
        <v>20243</v>
      </c>
      <c r="X46" s="5">
        <f>IF($M46=1,J46,"")</f>
        <v>3933</v>
      </c>
      <c r="Y46" s="5">
        <f>IF($M246=0,J246,"")</f>
        <v>4815</v>
      </c>
      <c r="Z46" s="5">
        <f>IF($M46=1,K46,"")</f>
        <v>23</v>
      </c>
      <c r="AA46">
        <f>IF($M246=0,K246,"")</f>
        <v>41</v>
      </c>
      <c r="AB46">
        <f>IF($M46=1,L46,"")</f>
        <v>3.8</v>
      </c>
      <c r="AC46">
        <f>IF($M246=0,L246,"")</f>
        <v>0.9</v>
      </c>
    </row>
    <row r="47" spans="2:43" x14ac:dyDescent="0.3">
      <c r="B47">
        <v>220</v>
      </c>
      <c r="C47" t="s">
        <v>65</v>
      </c>
      <c r="D47">
        <v>8</v>
      </c>
      <c r="E47">
        <v>1</v>
      </c>
      <c r="F47">
        <v>8</v>
      </c>
      <c r="G47" s="5">
        <v>30923</v>
      </c>
      <c r="H47">
        <v>15</v>
      </c>
      <c r="I47" t="s">
        <v>67</v>
      </c>
      <c r="J47" s="5">
        <v>4010</v>
      </c>
      <c r="K47">
        <v>15</v>
      </c>
      <c r="L47">
        <f>'KRWSIP_Program_Baseline Data'!H48</f>
        <v>5.5</v>
      </c>
      <c r="M47">
        <v>1</v>
      </c>
      <c r="P47" s="6"/>
      <c r="V47" s="5">
        <f>IF($M47=1,G47,"")</f>
        <v>30923</v>
      </c>
      <c r="W47" s="5">
        <f>IF($M247=0, G247,"")</f>
        <v>15965</v>
      </c>
      <c r="X47" s="5">
        <f>IF($M47=1,J47,"")</f>
        <v>4010</v>
      </c>
      <c r="Y47" s="5">
        <f>IF($M247=0,J247,"")</f>
        <v>3598</v>
      </c>
      <c r="Z47" s="5">
        <f>IF($M47=1,K47,"")</f>
        <v>15</v>
      </c>
      <c r="AA47">
        <f>IF($M247=0,K247,"")</f>
        <v>35</v>
      </c>
      <c r="AB47">
        <f>IF($M47=1,L47,"")</f>
        <v>5.5</v>
      </c>
      <c r="AC47">
        <f>IF($M247=0,L247,"")</f>
        <v>13.8</v>
      </c>
    </row>
    <row r="48" spans="2:43" x14ac:dyDescent="0.3">
      <c r="B48">
        <v>154</v>
      </c>
      <c r="C48" t="s">
        <v>64</v>
      </c>
      <c r="D48">
        <v>8</v>
      </c>
      <c r="E48">
        <v>1</v>
      </c>
      <c r="F48">
        <v>8</v>
      </c>
      <c r="G48" s="5">
        <v>31582</v>
      </c>
      <c r="H48">
        <v>36</v>
      </c>
      <c r="I48" t="s">
        <v>67</v>
      </c>
      <c r="J48" s="5">
        <v>4615</v>
      </c>
      <c r="K48">
        <v>36</v>
      </c>
      <c r="L48">
        <f>'KRWSIP_Program_Baseline Data'!H49</f>
        <v>10.9</v>
      </c>
      <c r="M48">
        <v>1</v>
      </c>
      <c r="P48" s="6"/>
      <c r="V48" s="5">
        <f>IF($M48=1,G48,"")</f>
        <v>31582</v>
      </c>
      <c r="W48" s="5">
        <f>IF($M248=0, G248,"")</f>
        <v>44111</v>
      </c>
      <c r="X48" s="5">
        <f>IF($M48=1,J48,"")</f>
        <v>4615</v>
      </c>
      <c r="Y48" s="5">
        <f>IF($M248=0,J248,"")</f>
        <v>5014</v>
      </c>
      <c r="Z48" s="5">
        <f>IF($M48=1,K48,"")</f>
        <v>36</v>
      </c>
      <c r="AA48">
        <f>IF($M248=0,K248,"")</f>
        <v>90</v>
      </c>
      <c r="AB48">
        <f>IF($M48=1,L48,"")</f>
        <v>10.9</v>
      </c>
      <c r="AC48">
        <f>IF($M248=0,L248,"")</f>
        <v>0.8</v>
      </c>
    </row>
    <row r="49" spans="2:29" x14ac:dyDescent="0.3">
      <c r="B49">
        <v>270</v>
      </c>
      <c r="C49" t="s">
        <v>63</v>
      </c>
      <c r="D49">
        <v>7</v>
      </c>
      <c r="E49">
        <v>1</v>
      </c>
      <c r="F49">
        <v>7</v>
      </c>
      <c r="G49" s="5">
        <v>26514</v>
      </c>
      <c r="H49">
        <v>46</v>
      </c>
      <c r="I49" t="s">
        <v>68</v>
      </c>
      <c r="J49" s="5">
        <v>3697</v>
      </c>
      <c r="K49">
        <v>46</v>
      </c>
      <c r="L49">
        <f>'KRWSIP_Program_Baseline Data'!H50</f>
        <v>6.2</v>
      </c>
      <c r="M49">
        <v>1</v>
      </c>
      <c r="P49" s="6"/>
      <c r="V49" s="5">
        <f>IF($M49=1,G49,"")</f>
        <v>26514</v>
      </c>
      <c r="W49" s="5">
        <f>IF($M249=0, G249,"")</f>
        <v>32227</v>
      </c>
      <c r="X49" s="5">
        <f>IF($M49=1,J49,"")</f>
        <v>3697</v>
      </c>
      <c r="Y49" s="5">
        <f>IF($M249=0,J249,"")</f>
        <v>5918</v>
      </c>
      <c r="Z49" s="5">
        <f>IF($M49=1,K49,"")</f>
        <v>46</v>
      </c>
      <c r="AA49">
        <f>IF($M249=0,K249,"")</f>
        <v>33</v>
      </c>
      <c r="AB49">
        <f>IF($M49=1,L49,"")</f>
        <v>6.2</v>
      </c>
      <c r="AC49">
        <f>IF($M249=0,L249,"")</f>
        <v>8.8000000000000007</v>
      </c>
    </row>
    <row r="50" spans="2:29" x14ac:dyDescent="0.3">
      <c r="B50">
        <v>365</v>
      </c>
      <c r="C50" t="s">
        <v>63</v>
      </c>
      <c r="D50">
        <v>3</v>
      </c>
      <c r="E50">
        <v>1</v>
      </c>
      <c r="F50">
        <v>3</v>
      </c>
      <c r="G50" s="5">
        <v>29121</v>
      </c>
      <c r="H50">
        <v>27</v>
      </c>
      <c r="I50" t="s">
        <v>68</v>
      </c>
      <c r="J50" s="5">
        <v>2893</v>
      </c>
      <c r="K50">
        <v>27</v>
      </c>
      <c r="L50">
        <f>'KRWSIP_Program_Baseline Data'!H51</f>
        <v>13.1</v>
      </c>
      <c r="M50">
        <v>1</v>
      </c>
      <c r="P50" s="6"/>
      <c r="V50" s="5">
        <f>IF($M50=1,G50,"")</f>
        <v>29121</v>
      </c>
      <c r="W50" s="5">
        <f>IF($M250=0, G250,"")</f>
        <v>35067</v>
      </c>
      <c r="X50" s="5">
        <f>IF($M50=1,J50,"")</f>
        <v>2893</v>
      </c>
      <c r="Y50" s="5">
        <f>IF($M250=0,J250,"")</f>
        <v>3737</v>
      </c>
      <c r="Z50" s="5">
        <f>IF($M50=1,K50,"")</f>
        <v>27</v>
      </c>
      <c r="AA50">
        <f>IF($M250=0,K250,"")</f>
        <v>107</v>
      </c>
      <c r="AB50">
        <f>IF($M50=1,L50,"")</f>
        <v>13.1</v>
      </c>
      <c r="AC50">
        <f>IF($M250=0,L250,"")</f>
        <v>4.8</v>
      </c>
    </row>
    <row r="51" spans="2:29" x14ac:dyDescent="0.3">
      <c r="B51">
        <v>294</v>
      </c>
      <c r="C51" t="s">
        <v>62</v>
      </c>
      <c r="D51">
        <v>4</v>
      </c>
      <c r="E51">
        <v>1</v>
      </c>
      <c r="F51">
        <v>4</v>
      </c>
      <c r="G51" s="5">
        <v>30844</v>
      </c>
      <c r="H51">
        <v>41</v>
      </c>
      <c r="I51" t="s">
        <v>68</v>
      </c>
      <c r="J51" s="5">
        <v>2389</v>
      </c>
      <c r="K51">
        <v>41</v>
      </c>
      <c r="L51">
        <f>'KRWSIP_Program_Baseline Data'!H52</f>
        <v>11</v>
      </c>
      <c r="M51">
        <v>1</v>
      </c>
      <c r="P51" s="6"/>
      <c r="V51" s="5">
        <f>IF($M51=1,G51,"")</f>
        <v>30844</v>
      </c>
      <c r="W51" s="5">
        <f>IF($M251=0, G251,"")</f>
        <v>33272</v>
      </c>
      <c r="X51" s="5">
        <f>IF($M51=1,J51,"")</f>
        <v>2389</v>
      </c>
      <c r="Y51" s="5">
        <f>IF($M251=0,J251,"")</f>
        <v>3892</v>
      </c>
      <c r="Z51" s="5">
        <f>IF($M51=1,K51,"")</f>
        <v>41</v>
      </c>
      <c r="AA51">
        <f>IF($M251=0,K251,"")</f>
        <v>23</v>
      </c>
      <c r="AB51">
        <f>IF($M51=1,L51,"")</f>
        <v>11</v>
      </c>
      <c r="AC51">
        <f>IF($M251=0,L251,"")</f>
        <v>10.8</v>
      </c>
    </row>
    <row r="52" spans="2:29" x14ac:dyDescent="0.3">
      <c r="B52">
        <v>345</v>
      </c>
      <c r="C52" t="s">
        <v>64</v>
      </c>
      <c r="D52">
        <v>3</v>
      </c>
      <c r="E52">
        <v>1</v>
      </c>
      <c r="F52">
        <v>3</v>
      </c>
      <c r="G52" s="5">
        <v>26406</v>
      </c>
      <c r="H52">
        <v>39</v>
      </c>
      <c r="I52" t="s">
        <v>68</v>
      </c>
      <c r="J52" s="5">
        <v>2060</v>
      </c>
      <c r="K52">
        <v>39</v>
      </c>
      <c r="L52">
        <f>'KRWSIP_Program_Baseline Data'!H53</f>
        <v>1.7</v>
      </c>
      <c r="M52">
        <v>1</v>
      </c>
      <c r="P52" s="6"/>
      <c r="V52" s="5">
        <f>IF($M52=1,G52,"")</f>
        <v>26406</v>
      </c>
      <c r="W52" s="5">
        <f>IF($M252=0, G252,"")</f>
        <v>23768</v>
      </c>
      <c r="X52" s="5">
        <f>IF($M52=1,J52,"")</f>
        <v>2060</v>
      </c>
      <c r="Y52" s="5">
        <f>IF($M252=0,J252,"")</f>
        <v>5204</v>
      </c>
      <c r="Z52" s="5">
        <f>IF($M52=1,K52,"")</f>
        <v>39</v>
      </c>
      <c r="AA52">
        <f>IF($M252=0,K252,"")</f>
        <v>41</v>
      </c>
      <c r="AB52">
        <f>IF($M52=1,L52,"")</f>
        <v>1.7</v>
      </c>
      <c r="AC52">
        <f>IF($M252=0,L252,"")</f>
        <v>12.8</v>
      </c>
    </row>
    <row r="53" spans="2:29" x14ac:dyDescent="0.3">
      <c r="B53">
        <v>115</v>
      </c>
      <c r="C53" t="s">
        <v>63</v>
      </c>
      <c r="D53">
        <v>3</v>
      </c>
      <c r="E53">
        <v>1</v>
      </c>
      <c r="F53">
        <v>3</v>
      </c>
      <c r="G53" s="5">
        <v>32899</v>
      </c>
      <c r="H53">
        <v>36</v>
      </c>
      <c r="I53" t="s">
        <v>68</v>
      </c>
      <c r="J53" s="5">
        <v>2254</v>
      </c>
      <c r="K53">
        <v>36</v>
      </c>
      <c r="L53">
        <f>'KRWSIP_Program_Baseline Data'!H54</f>
        <v>10.8</v>
      </c>
      <c r="M53">
        <v>1</v>
      </c>
      <c r="P53" s="6"/>
      <c r="V53" s="5">
        <f>IF($M53=1,G53,"")</f>
        <v>32899</v>
      </c>
      <c r="W53" s="5">
        <f>IF($M253=0, G253,"")</f>
        <v>30924</v>
      </c>
      <c r="X53" s="5">
        <f>IF($M53=1,J53,"")</f>
        <v>2254</v>
      </c>
      <c r="Y53" s="5">
        <f>IF($M253=0,J253,"")</f>
        <v>5016</v>
      </c>
      <c r="Z53" s="5">
        <f>IF($M53=1,K53,"")</f>
        <v>36</v>
      </c>
      <c r="AA53">
        <f>IF($M253=0,K253,"")</f>
        <v>26</v>
      </c>
      <c r="AB53">
        <f>IF($M53=1,L53,"")</f>
        <v>10.8</v>
      </c>
      <c r="AC53">
        <f>IF($M253=0,L253,"")</f>
        <v>1.3</v>
      </c>
    </row>
    <row r="54" spans="2:29" x14ac:dyDescent="0.3">
      <c r="B54">
        <v>16</v>
      </c>
      <c r="C54" t="s">
        <v>65</v>
      </c>
      <c r="D54">
        <v>6</v>
      </c>
      <c r="E54">
        <v>1</v>
      </c>
      <c r="F54">
        <v>6</v>
      </c>
      <c r="G54" s="5">
        <v>33920</v>
      </c>
      <c r="H54">
        <v>7</v>
      </c>
      <c r="I54" t="s">
        <v>67</v>
      </c>
      <c r="J54" s="5">
        <v>3102</v>
      </c>
      <c r="K54">
        <v>7</v>
      </c>
      <c r="L54">
        <f>'KRWSIP_Program_Baseline Data'!H55</f>
        <v>3.6</v>
      </c>
      <c r="M54">
        <v>1</v>
      </c>
      <c r="P54" s="6"/>
      <c r="V54" s="5">
        <f>IF($M54=1,G54,"")</f>
        <v>33920</v>
      </c>
      <c r="W54" s="5">
        <f>IF($M254=0, G254,"")</f>
        <v>27949</v>
      </c>
      <c r="X54" s="5">
        <f>IF($M54=1,J54,"")</f>
        <v>3102</v>
      </c>
      <c r="Y54" s="5">
        <f>IF($M254=0,J254,"")</f>
        <v>4232</v>
      </c>
      <c r="Z54" s="5">
        <f>IF($M54=1,K54,"")</f>
        <v>7</v>
      </c>
      <c r="AA54">
        <f>IF($M254=0,K254,"")</f>
        <v>15</v>
      </c>
      <c r="AB54">
        <f>IF($M54=1,L54,"")</f>
        <v>3.6</v>
      </c>
      <c r="AC54">
        <f>IF($M254=0,L254,"")</f>
        <v>13.9</v>
      </c>
    </row>
    <row r="55" spans="2:29" x14ac:dyDescent="0.3">
      <c r="B55">
        <v>83</v>
      </c>
      <c r="C55" t="s">
        <v>63</v>
      </c>
      <c r="D55">
        <v>8</v>
      </c>
      <c r="E55">
        <v>1</v>
      </c>
      <c r="F55">
        <v>8</v>
      </c>
      <c r="G55" s="5">
        <v>49779</v>
      </c>
      <c r="H55">
        <v>18</v>
      </c>
      <c r="I55" t="s">
        <v>68</v>
      </c>
      <c r="J55" s="5">
        <v>3994</v>
      </c>
      <c r="K55">
        <v>18</v>
      </c>
      <c r="L55">
        <f>'KRWSIP_Program_Baseline Data'!H56</f>
        <v>12.6</v>
      </c>
      <c r="M55">
        <v>1</v>
      </c>
      <c r="P55" s="6"/>
      <c r="V55" s="5">
        <f>IF($M55=1,G55,"")</f>
        <v>49779</v>
      </c>
      <c r="W55" s="5">
        <f>IF($M255=0, G255,"")</f>
        <v>31868</v>
      </c>
      <c r="X55" s="5">
        <f>IF($M55=1,J55,"")</f>
        <v>3994</v>
      </c>
      <c r="Y55" s="5">
        <f>IF($M255=0,J255,"")</f>
        <v>5429</v>
      </c>
      <c r="Z55" s="5">
        <f>IF($M55=1,K55,"")</f>
        <v>18</v>
      </c>
      <c r="AA55">
        <f>IF($M255=0,K255,"")</f>
        <v>36</v>
      </c>
      <c r="AB55">
        <f>IF($M55=1,L55,"")</f>
        <v>12.6</v>
      </c>
      <c r="AC55">
        <f>IF($M255=0,L255,"")</f>
        <v>7.4</v>
      </c>
    </row>
    <row r="56" spans="2:29" x14ac:dyDescent="0.3">
      <c r="B56">
        <v>121</v>
      </c>
      <c r="C56" t="s">
        <v>65</v>
      </c>
      <c r="D56">
        <v>6</v>
      </c>
      <c r="E56">
        <v>1</v>
      </c>
      <c r="F56">
        <v>6</v>
      </c>
      <c r="G56" s="5">
        <v>48079</v>
      </c>
      <c r="H56">
        <v>45</v>
      </c>
      <c r="I56" t="s">
        <v>69</v>
      </c>
      <c r="J56" s="5">
        <v>4215</v>
      </c>
      <c r="K56">
        <v>45</v>
      </c>
      <c r="L56">
        <f>'KRWSIP_Program_Baseline Data'!H57</f>
        <v>12.4</v>
      </c>
      <c r="M56">
        <v>1</v>
      </c>
      <c r="P56" s="6"/>
      <c r="V56" s="5">
        <f>IF($M56=1,G56,"")</f>
        <v>48079</v>
      </c>
      <c r="W56" s="5">
        <f>IF($M256=0, G256,"")</f>
        <v>31446</v>
      </c>
      <c r="X56" s="5">
        <f>IF($M56=1,J56,"")</f>
        <v>4215</v>
      </c>
      <c r="Y56" s="5">
        <f>IF($M256=0,J256,"")</f>
        <v>3494</v>
      </c>
      <c r="Z56" s="5">
        <f>IF($M56=1,K56,"")</f>
        <v>45</v>
      </c>
      <c r="AA56">
        <f>IF($M256=0,K256,"")</f>
        <v>31</v>
      </c>
      <c r="AB56">
        <f>IF($M56=1,L56,"")</f>
        <v>12.4</v>
      </c>
      <c r="AC56">
        <f>IF($M256=0,L256,"")</f>
        <v>2.9</v>
      </c>
    </row>
    <row r="57" spans="2:29" x14ac:dyDescent="0.3">
      <c r="B57">
        <v>27</v>
      </c>
      <c r="C57" t="s">
        <v>62</v>
      </c>
      <c r="D57">
        <v>5</v>
      </c>
      <c r="E57">
        <v>1</v>
      </c>
      <c r="F57">
        <v>5</v>
      </c>
      <c r="G57" s="5">
        <v>30056</v>
      </c>
      <c r="H57">
        <v>6</v>
      </c>
      <c r="I57" t="s">
        <v>69</v>
      </c>
      <c r="J57" s="5">
        <v>3080</v>
      </c>
      <c r="K57">
        <v>6</v>
      </c>
      <c r="L57">
        <f>'KRWSIP_Program_Baseline Data'!H58</f>
        <v>14.3</v>
      </c>
      <c r="M57">
        <v>1</v>
      </c>
      <c r="P57" s="6"/>
      <c r="V57" s="5">
        <f>IF($M57=1,G57,"")</f>
        <v>30056</v>
      </c>
      <c r="W57" s="5">
        <f>IF($M257=0, G257,"")</f>
        <v>31054</v>
      </c>
      <c r="X57" s="5">
        <f>IF($M57=1,J57,"")</f>
        <v>3080</v>
      </c>
      <c r="Y57" s="5">
        <f>IF($M257=0,J257,"")</f>
        <v>4078</v>
      </c>
      <c r="Z57" s="5">
        <f>IF($M57=1,K57,"")</f>
        <v>6</v>
      </c>
      <c r="AA57">
        <f>IF($M257=0,K257,"")</f>
        <v>90</v>
      </c>
      <c r="AB57">
        <f>IF($M57=1,L57,"")</f>
        <v>14.3</v>
      </c>
      <c r="AC57">
        <f>IF($M257=0,L257,"")</f>
        <v>0.5</v>
      </c>
    </row>
    <row r="58" spans="2:29" x14ac:dyDescent="0.3">
      <c r="B58">
        <v>362</v>
      </c>
      <c r="C58" t="s">
        <v>65</v>
      </c>
      <c r="D58">
        <v>2</v>
      </c>
      <c r="E58">
        <v>1</v>
      </c>
      <c r="F58">
        <v>2</v>
      </c>
      <c r="G58" s="5">
        <v>34663</v>
      </c>
      <c r="H58">
        <v>15</v>
      </c>
      <c r="I58" t="s">
        <v>66</v>
      </c>
      <c r="J58" s="5">
        <v>3164</v>
      </c>
      <c r="K58">
        <v>15</v>
      </c>
      <c r="L58">
        <f>'KRWSIP_Program_Baseline Data'!H59</f>
        <v>11.3</v>
      </c>
      <c r="M58">
        <v>1</v>
      </c>
      <c r="P58" s="6"/>
      <c r="V58" s="5">
        <f>IF($M58=1,G58,"")</f>
        <v>34663</v>
      </c>
      <c r="W58" s="5">
        <f>IF($M258=0, G258,"")</f>
        <v>21741</v>
      </c>
      <c r="X58" s="5">
        <f>IF($M58=1,J58,"")</f>
        <v>3164</v>
      </c>
      <c r="Y58" s="5">
        <f>IF($M258=0,J258,"")</f>
        <v>5536</v>
      </c>
      <c r="Z58" s="5">
        <f>IF($M58=1,K58,"")</f>
        <v>15</v>
      </c>
      <c r="AA58">
        <f>IF($M258=0,K258,"")</f>
        <v>102</v>
      </c>
      <c r="AB58">
        <f>IF($M58=1,L58,"")</f>
        <v>11.3</v>
      </c>
      <c r="AC58">
        <f>IF($M258=0,L258,"")</f>
        <v>11.1</v>
      </c>
    </row>
    <row r="59" spans="2:29" x14ac:dyDescent="0.3">
      <c r="B59">
        <v>230</v>
      </c>
      <c r="C59" t="s">
        <v>63</v>
      </c>
      <c r="D59">
        <v>2</v>
      </c>
      <c r="E59">
        <v>1</v>
      </c>
      <c r="F59">
        <v>2</v>
      </c>
      <c r="G59" s="5">
        <v>25995</v>
      </c>
      <c r="H59">
        <v>22</v>
      </c>
      <c r="I59" t="s">
        <v>68</v>
      </c>
      <c r="J59" s="5">
        <v>1975</v>
      </c>
      <c r="K59">
        <v>22</v>
      </c>
      <c r="L59">
        <f>'KRWSIP_Program_Baseline Data'!H60</f>
        <v>14.2</v>
      </c>
      <c r="M59">
        <v>1</v>
      </c>
      <c r="P59" s="6"/>
      <c r="V59" s="5">
        <f>IF($M59=1,G59,"")</f>
        <v>25995</v>
      </c>
      <c r="W59" s="5">
        <f>IF($M259=0, G259,"")</f>
        <v>23543</v>
      </c>
      <c r="X59" s="5">
        <f>IF($M59=1,J59,"")</f>
        <v>1975</v>
      </c>
      <c r="Y59" s="5">
        <f>IF($M259=0,J259,"")</f>
        <v>4497</v>
      </c>
      <c r="Z59" s="5">
        <f>IF($M59=1,K59,"")</f>
        <v>22</v>
      </c>
      <c r="AA59">
        <f>IF($M259=0,K259,"")</f>
        <v>25</v>
      </c>
      <c r="AB59">
        <f>IF($M59=1,L59,"")</f>
        <v>14.2</v>
      </c>
      <c r="AC59">
        <f>IF($M259=0,L259,"")</f>
        <v>2.5</v>
      </c>
    </row>
    <row r="60" spans="2:29" x14ac:dyDescent="0.3">
      <c r="B60">
        <v>247</v>
      </c>
      <c r="C60" t="s">
        <v>63</v>
      </c>
      <c r="D60">
        <v>7</v>
      </c>
      <c r="E60">
        <v>1</v>
      </c>
      <c r="F60">
        <v>7</v>
      </c>
      <c r="G60" s="5">
        <v>32713</v>
      </c>
      <c r="H60">
        <v>22</v>
      </c>
      <c r="I60" t="s">
        <v>68</v>
      </c>
      <c r="J60" s="5">
        <v>3138</v>
      </c>
      <c r="K60">
        <v>22</v>
      </c>
      <c r="L60">
        <f>'KRWSIP_Program_Baseline Data'!H61</f>
        <v>7.1</v>
      </c>
      <c r="M60">
        <v>1</v>
      </c>
      <c r="P60" s="6"/>
      <c r="V60" s="5">
        <f>IF($M60=1,G60,"")</f>
        <v>32713</v>
      </c>
      <c r="W60" s="5">
        <f>IF($M260=0, G260,"")</f>
        <v>31363</v>
      </c>
      <c r="X60" s="5">
        <f>IF($M60=1,J60,"")</f>
        <v>3138</v>
      </c>
      <c r="Y60" s="5">
        <f>IF($M260=0,J260,"")</f>
        <v>4165</v>
      </c>
      <c r="Z60" s="5">
        <f>IF($M60=1,K60,"")</f>
        <v>22</v>
      </c>
      <c r="AA60">
        <f>IF($M260=0,K260,"")</f>
        <v>87</v>
      </c>
      <c r="AB60">
        <f>IF($M60=1,L60,"")</f>
        <v>7.1</v>
      </c>
      <c r="AC60">
        <f>IF($M260=0,L260,"")</f>
        <v>3.3</v>
      </c>
    </row>
    <row r="61" spans="2:29" x14ac:dyDescent="0.3">
      <c r="B61">
        <v>252</v>
      </c>
      <c r="C61" t="s">
        <v>62</v>
      </c>
      <c r="D61">
        <v>8</v>
      </c>
      <c r="E61">
        <v>1</v>
      </c>
      <c r="F61">
        <v>8</v>
      </c>
      <c r="G61" s="5">
        <v>31060</v>
      </c>
      <c r="H61">
        <v>22</v>
      </c>
      <c r="I61" t="s">
        <v>66</v>
      </c>
      <c r="J61" s="5">
        <v>4591</v>
      </c>
      <c r="K61">
        <v>22</v>
      </c>
      <c r="L61">
        <f>'KRWSIP_Program_Baseline Data'!H62</f>
        <v>3.3</v>
      </c>
      <c r="M61">
        <v>1</v>
      </c>
      <c r="P61" s="6"/>
      <c r="V61" s="5">
        <f>IF($M61=1,G61,"")</f>
        <v>31060</v>
      </c>
      <c r="W61" s="5">
        <f>IF($M261=0, G261,"")</f>
        <v>37995</v>
      </c>
      <c r="X61" s="5">
        <f>IF($M61=1,J61,"")</f>
        <v>4591</v>
      </c>
      <c r="Y61" s="5">
        <f>IF($M261=0,J261,"")</f>
        <v>3976</v>
      </c>
      <c r="Z61" s="5">
        <f>IF($M61=1,K61,"")</f>
        <v>22</v>
      </c>
      <c r="AA61">
        <f>IF($M261=0,K261,"")</f>
        <v>87</v>
      </c>
      <c r="AB61">
        <f>IF($M61=1,L61,"")</f>
        <v>3.3</v>
      </c>
      <c r="AC61">
        <f>IF($M261=0,L261,"")</f>
        <v>8</v>
      </c>
    </row>
    <row r="62" spans="2:29" x14ac:dyDescent="0.3">
      <c r="B62">
        <v>190</v>
      </c>
      <c r="C62" t="s">
        <v>65</v>
      </c>
      <c r="D62">
        <v>2</v>
      </c>
      <c r="E62">
        <v>1</v>
      </c>
      <c r="F62">
        <v>2</v>
      </c>
      <c r="G62" s="5">
        <v>40489</v>
      </c>
      <c r="H62">
        <v>46</v>
      </c>
      <c r="I62" t="s">
        <v>67</v>
      </c>
      <c r="J62" s="5">
        <v>2927</v>
      </c>
      <c r="K62">
        <v>46</v>
      </c>
      <c r="L62">
        <f>'KRWSIP_Program_Baseline Data'!H63</f>
        <v>4.4000000000000004</v>
      </c>
      <c r="M62">
        <v>1</v>
      </c>
      <c r="P62" s="6"/>
      <c r="V62" s="5">
        <f>IF($M62=1,G62,"")</f>
        <v>40489</v>
      </c>
      <c r="W62" s="5">
        <f>IF($M262=0, G262,"")</f>
        <v>18823</v>
      </c>
      <c r="X62" s="5">
        <f>IF($M62=1,J62,"")</f>
        <v>2927</v>
      </c>
      <c r="Y62" s="5">
        <f>IF($M262=0,J262,"")</f>
        <v>6118</v>
      </c>
      <c r="Z62" s="5">
        <f>IF($M62=1,K62,"")</f>
        <v>46</v>
      </c>
      <c r="AA62">
        <f>IF($M262=0,K262,"")</f>
        <v>108</v>
      </c>
      <c r="AB62">
        <f>IF($M62=1,L62,"")</f>
        <v>4.4000000000000004</v>
      </c>
      <c r="AC62">
        <f>IF($M262=0,L262,"")</f>
        <v>5.5</v>
      </c>
    </row>
    <row r="63" spans="2:29" x14ac:dyDescent="0.3">
      <c r="B63">
        <v>251</v>
      </c>
      <c r="C63" t="s">
        <v>62</v>
      </c>
      <c r="D63">
        <v>5</v>
      </c>
      <c r="E63">
        <v>1</v>
      </c>
      <c r="F63">
        <v>5</v>
      </c>
      <c r="G63" s="5">
        <v>22019</v>
      </c>
      <c r="H63">
        <v>43</v>
      </c>
      <c r="I63" t="s">
        <v>68</v>
      </c>
      <c r="J63" s="5">
        <v>3587</v>
      </c>
      <c r="K63">
        <v>43</v>
      </c>
      <c r="L63">
        <f>'KRWSIP_Program_Baseline Data'!H64</f>
        <v>7.8</v>
      </c>
      <c r="M63">
        <v>1</v>
      </c>
      <c r="P63" s="6"/>
      <c r="V63" s="5">
        <f>IF($M63=1,G63,"")</f>
        <v>22019</v>
      </c>
      <c r="W63" s="5">
        <f>IF($M263=0, G263,"")</f>
        <v>29731</v>
      </c>
      <c r="X63" s="5">
        <f>IF($M63=1,J63,"")</f>
        <v>3587</v>
      </c>
      <c r="Y63" s="5">
        <f>IF($M263=0,J263,"")</f>
        <v>5988</v>
      </c>
      <c r="Z63" s="5">
        <f>IF($M63=1,K63,"")</f>
        <v>43</v>
      </c>
      <c r="AA63">
        <f>IF($M263=0,K263,"")</f>
        <v>23</v>
      </c>
      <c r="AB63">
        <f>IF($M63=1,L63,"")</f>
        <v>7.8</v>
      </c>
      <c r="AC63">
        <f>IF($M263=0,L263,"")</f>
        <v>8.6</v>
      </c>
    </row>
    <row r="64" spans="2:29" x14ac:dyDescent="0.3">
      <c r="B64">
        <v>376</v>
      </c>
      <c r="C64" t="s">
        <v>65</v>
      </c>
      <c r="D64">
        <v>8</v>
      </c>
      <c r="E64">
        <v>1</v>
      </c>
      <c r="F64">
        <v>8</v>
      </c>
      <c r="G64" s="5">
        <v>27723</v>
      </c>
      <c r="H64">
        <v>40</v>
      </c>
      <c r="I64" t="s">
        <v>67</v>
      </c>
      <c r="J64" s="5">
        <v>4890</v>
      </c>
      <c r="K64">
        <v>40</v>
      </c>
      <c r="L64">
        <f>'KRWSIP_Program_Baseline Data'!H65</f>
        <v>2.4</v>
      </c>
      <c r="M64">
        <v>1</v>
      </c>
      <c r="P64" s="6"/>
      <c r="V64" s="5">
        <f>IF($M64=1,G64,"")</f>
        <v>27723</v>
      </c>
      <c r="W64" s="5">
        <f>IF($M264=0, G264,"")</f>
        <v>42205</v>
      </c>
      <c r="X64" s="5">
        <f>IF($M64=1,J64,"")</f>
        <v>4890</v>
      </c>
      <c r="Y64" s="5">
        <f>IF($M264=0,J264,"")</f>
        <v>5013</v>
      </c>
      <c r="Z64" s="5">
        <f>IF($M64=1,K64,"")</f>
        <v>40</v>
      </c>
      <c r="AA64">
        <f>IF($M264=0,K264,"")</f>
        <v>78</v>
      </c>
      <c r="AB64">
        <f>IF($M64=1,L64,"")</f>
        <v>2.4</v>
      </c>
      <c r="AC64">
        <f>IF($M264=0,L264,"")</f>
        <v>13.4</v>
      </c>
    </row>
    <row r="65" spans="2:29" x14ac:dyDescent="0.3">
      <c r="B65">
        <v>191</v>
      </c>
      <c r="C65" t="s">
        <v>65</v>
      </c>
      <c r="D65">
        <v>3</v>
      </c>
      <c r="E65">
        <v>1</v>
      </c>
      <c r="F65">
        <v>3</v>
      </c>
      <c r="G65" s="5">
        <v>49585</v>
      </c>
      <c r="H65">
        <v>26</v>
      </c>
      <c r="I65" t="s">
        <v>68</v>
      </c>
      <c r="J65" s="5">
        <v>3018</v>
      </c>
      <c r="K65">
        <v>26</v>
      </c>
      <c r="L65">
        <f>'KRWSIP_Program_Baseline Data'!H66</f>
        <v>13.4</v>
      </c>
      <c r="M65">
        <v>1</v>
      </c>
      <c r="P65" s="6"/>
      <c r="V65" s="5">
        <f>IF($M65=1,G65,"")</f>
        <v>49585</v>
      </c>
      <c r="W65" s="5">
        <f>IF($M265=0, G265,"")</f>
        <v>33592</v>
      </c>
      <c r="X65" s="5">
        <f>IF($M65=1,J65,"")</f>
        <v>3018</v>
      </c>
      <c r="Y65" s="5">
        <f>IF($M265=0,J265,"")</f>
        <v>4343</v>
      </c>
      <c r="Z65" s="5">
        <f>IF($M65=1,K65,"")</f>
        <v>26</v>
      </c>
      <c r="AA65">
        <f>IF($M265=0,K265,"")</f>
        <v>22</v>
      </c>
      <c r="AB65">
        <f>IF($M65=1,L65,"")</f>
        <v>13.4</v>
      </c>
      <c r="AC65">
        <f>IF($M265=0,L265,"")</f>
        <v>2.2999999999999998</v>
      </c>
    </row>
    <row r="66" spans="2:29" x14ac:dyDescent="0.3">
      <c r="B66">
        <v>173</v>
      </c>
      <c r="C66" t="s">
        <v>65</v>
      </c>
      <c r="D66">
        <v>3</v>
      </c>
      <c r="E66">
        <v>1</v>
      </c>
      <c r="F66">
        <v>3</v>
      </c>
      <c r="G66" s="5">
        <v>27168</v>
      </c>
      <c r="H66">
        <v>41</v>
      </c>
      <c r="I66" t="s">
        <v>67</v>
      </c>
      <c r="J66" s="5">
        <v>2839</v>
      </c>
      <c r="K66">
        <v>41</v>
      </c>
      <c r="L66">
        <f>'KRWSIP_Program_Baseline Data'!H67</f>
        <v>14.4</v>
      </c>
      <c r="M66">
        <v>1</v>
      </c>
      <c r="P66" s="6"/>
      <c r="V66" s="5">
        <f>IF($M66=1,G66,"")</f>
        <v>27168</v>
      </c>
      <c r="W66" s="5">
        <f>IF($M266=0, G266,"")</f>
        <v>17359</v>
      </c>
      <c r="X66" s="5">
        <f>IF($M66=1,J66,"")</f>
        <v>2839</v>
      </c>
      <c r="Y66" s="5">
        <f>IF($M266=0,J266,"")</f>
        <v>3490</v>
      </c>
      <c r="Z66" s="5">
        <f>IF($M66=1,K66,"")</f>
        <v>41</v>
      </c>
      <c r="AA66">
        <f>IF($M266=0,K266,"")</f>
        <v>109</v>
      </c>
      <c r="AB66">
        <f>IF($M66=1,L66,"")</f>
        <v>14.4</v>
      </c>
      <c r="AC66">
        <f>IF($M266=0,L266,"")</f>
        <v>10.3</v>
      </c>
    </row>
    <row r="67" spans="2:29" x14ac:dyDescent="0.3">
      <c r="B67">
        <v>333</v>
      </c>
      <c r="C67" t="s">
        <v>62</v>
      </c>
      <c r="D67">
        <v>4</v>
      </c>
      <c r="E67">
        <v>1</v>
      </c>
      <c r="F67">
        <v>4</v>
      </c>
      <c r="G67" s="5">
        <v>30514</v>
      </c>
      <c r="H67">
        <v>32</v>
      </c>
      <c r="I67" t="s">
        <v>68</v>
      </c>
      <c r="J67" s="5">
        <v>3498</v>
      </c>
      <c r="K67">
        <v>32</v>
      </c>
      <c r="L67">
        <f>'KRWSIP_Program_Baseline Data'!H68</f>
        <v>11.3</v>
      </c>
      <c r="M67">
        <v>1</v>
      </c>
      <c r="P67" s="6"/>
      <c r="V67" s="5">
        <f>IF($M67=1,G67,"")</f>
        <v>30514</v>
      </c>
      <c r="W67" s="5">
        <f>IF($M267=0, G267,"")</f>
        <v>37713</v>
      </c>
      <c r="X67" s="5">
        <f>IF($M67=1,J67,"")</f>
        <v>3498</v>
      </c>
      <c r="Y67" s="5">
        <f>IF($M267=0,J267,"")</f>
        <v>4954</v>
      </c>
      <c r="Z67" s="5">
        <f>IF($M67=1,K67,"")</f>
        <v>32</v>
      </c>
      <c r="AA67">
        <f>IF($M267=0,K267,"")</f>
        <v>109</v>
      </c>
      <c r="AB67">
        <f>IF($M67=1,L67,"")</f>
        <v>11.3</v>
      </c>
      <c r="AC67">
        <f>IF($M267=0,L267,"")</f>
        <v>4.2</v>
      </c>
    </row>
    <row r="68" spans="2:29" x14ac:dyDescent="0.3">
      <c r="B68">
        <v>298</v>
      </c>
      <c r="C68" t="s">
        <v>62</v>
      </c>
      <c r="D68">
        <v>3</v>
      </c>
      <c r="E68">
        <v>1</v>
      </c>
      <c r="F68">
        <v>3</v>
      </c>
      <c r="G68" s="5">
        <v>30786</v>
      </c>
      <c r="H68">
        <v>55</v>
      </c>
      <c r="I68" t="s">
        <v>67</v>
      </c>
      <c r="J68" s="5">
        <v>2871</v>
      </c>
      <c r="K68">
        <v>55</v>
      </c>
      <c r="L68">
        <f>'KRWSIP_Program_Baseline Data'!H69</f>
        <v>14.2</v>
      </c>
      <c r="M68">
        <v>1</v>
      </c>
      <c r="P68" s="6"/>
      <c r="V68" s="5">
        <f>IF($M68=1,G68,"")</f>
        <v>30786</v>
      </c>
      <c r="W68" s="5">
        <f>IF($M268=0, G268,"")</f>
        <v>32189</v>
      </c>
      <c r="X68" s="5">
        <f>IF($M68=1,J68,"")</f>
        <v>2871</v>
      </c>
      <c r="Y68" s="5">
        <f>IF($M268=0,J268,"")</f>
        <v>3725</v>
      </c>
      <c r="Z68" s="5">
        <f>IF($M68=1,K68,"")</f>
        <v>55</v>
      </c>
      <c r="AA68">
        <f>IF($M268=0,K268,"")</f>
        <v>64</v>
      </c>
      <c r="AB68">
        <f>IF($M68=1,L68,"")</f>
        <v>14.2</v>
      </c>
      <c r="AC68">
        <f>IF($M268=0,L268,"")</f>
        <v>13.7</v>
      </c>
    </row>
    <row r="69" spans="2:29" x14ac:dyDescent="0.3">
      <c r="B69">
        <v>323</v>
      </c>
      <c r="C69" t="s">
        <v>65</v>
      </c>
      <c r="D69">
        <v>6</v>
      </c>
      <c r="E69">
        <v>1</v>
      </c>
      <c r="F69">
        <v>6</v>
      </c>
      <c r="G69" s="5">
        <v>37782</v>
      </c>
      <c r="H69">
        <v>42</v>
      </c>
      <c r="I69" t="s">
        <v>67</v>
      </c>
      <c r="J69" s="5">
        <v>4110</v>
      </c>
      <c r="K69">
        <v>42</v>
      </c>
      <c r="L69">
        <f>'KRWSIP_Program_Baseline Data'!H70</f>
        <v>6.9</v>
      </c>
      <c r="M69">
        <v>1</v>
      </c>
      <c r="P69" s="6"/>
      <c r="V69" s="5">
        <f>IF($M69=1,G69,"")</f>
        <v>37782</v>
      </c>
      <c r="W69" s="5">
        <f>IF($M269=0, G269,"")</f>
        <v>22721</v>
      </c>
      <c r="X69" s="5">
        <f>IF($M69=1,J69,"")</f>
        <v>4110</v>
      </c>
      <c r="Y69" s="5">
        <f>IF($M269=0,J269,"")</f>
        <v>5857</v>
      </c>
      <c r="Z69" s="5">
        <f>IF($M69=1,K69,"")</f>
        <v>42</v>
      </c>
      <c r="AA69">
        <f>IF($M269=0,K269,"")</f>
        <v>36</v>
      </c>
      <c r="AB69">
        <f>IF($M69=1,L69,"")</f>
        <v>6.9</v>
      </c>
      <c r="AC69">
        <f>IF($M269=0,L269,"")</f>
        <v>3.6</v>
      </c>
    </row>
    <row r="70" spans="2:29" x14ac:dyDescent="0.3">
      <c r="B70">
        <v>377</v>
      </c>
      <c r="C70" t="s">
        <v>63</v>
      </c>
      <c r="D70">
        <v>8</v>
      </c>
      <c r="E70">
        <v>1</v>
      </c>
      <c r="F70">
        <v>8</v>
      </c>
      <c r="G70" s="5">
        <v>34928</v>
      </c>
      <c r="H70">
        <v>13</v>
      </c>
      <c r="I70" t="s">
        <v>67</v>
      </c>
      <c r="J70" s="5">
        <v>4427</v>
      </c>
      <c r="K70">
        <v>13</v>
      </c>
      <c r="L70">
        <f>'KRWSIP_Program_Baseline Data'!H71</f>
        <v>10</v>
      </c>
      <c r="M70">
        <v>1</v>
      </c>
      <c r="P70" s="6"/>
      <c r="V70" s="5">
        <f>IF($M70=1,G70,"")</f>
        <v>34928</v>
      </c>
      <c r="W70" s="5">
        <f>IF($M270=0, G270,"")</f>
        <v>35492</v>
      </c>
      <c r="X70" s="5">
        <f>IF($M70=1,J70,"")</f>
        <v>4427</v>
      </c>
      <c r="Y70" s="5">
        <f>IF($M270=0,J270,"")</f>
        <v>4133</v>
      </c>
      <c r="Z70" s="5">
        <f>IF($M70=1,K70,"")</f>
        <v>13</v>
      </c>
      <c r="AA70">
        <f>IF($M270=0,K270,"")</f>
        <v>21</v>
      </c>
      <c r="AB70">
        <f>IF($M70=1,L70,"")</f>
        <v>10</v>
      </c>
      <c r="AC70">
        <f>IF($M270=0,L270,"")</f>
        <v>6</v>
      </c>
    </row>
    <row r="71" spans="2:29" x14ac:dyDescent="0.3">
      <c r="B71">
        <v>280</v>
      </c>
      <c r="C71" t="s">
        <v>65</v>
      </c>
      <c r="D71">
        <v>2</v>
      </c>
      <c r="E71">
        <v>1</v>
      </c>
      <c r="F71">
        <v>2</v>
      </c>
      <c r="G71" s="5">
        <v>23517</v>
      </c>
      <c r="H71">
        <v>28</v>
      </c>
      <c r="I71" t="s">
        <v>68</v>
      </c>
      <c r="J71" s="5">
        <v>2079</v>
      </c>
      <c r="K71">
        <v>28</v>
      </c>
      <c r="L71">
        <f>'KRWSIP_Program_Baseline Data'!H72</f>
        <v>9</v>
      </c>
      <c r="M71">
        <v>1</v>
      </c>
      <c r="P71" s="6"/>
      <c r="V71" s="5">
        <f>IF($M71=1,G71,"")</f>
        <v>23517</v>
      </c>
      <c r="W71" s="5">
        <f>IF($M271=0, G271,"")</f>
        <v>40615</v>
      </c>
      <c r="X71" s="5">
        <f>IF($M71=1,J71,"")</f>
        <v>2079</v>
      </c>
      <c r="Y71" s="5">
        <f>IF($M271=0,J271,"")</f>
        <v>4841</v>
      </c>
      <c r="Z71" s="5">
        <f>IF($M71=1,K71,"")</f>
        <v>28</v>
      </c>
      <c r="AA71">
        <f>IF($M271=0,K271,"")</f>
        <v>69</v>
      </c>
      <c r="AB71">
        <f>IF($M71=1,L71,"")</f>
        <v>9</v>
      </c>
      <c r="AC71">
        <f>IF($M271=0,L271,"")</f>
        <v>3.5</v>
      </c>
    </row>
    <row r="72" spans="2:29" x14ac:dyDescent="0.3">
      <c r="B72">
        <v>174</v>
      </c>
      <c r="C72" t="s">
        <v>65</v>
      </c>
      <c r="D72">
        <v>2</v>
      </c>
      <c r="E72">
        <v>1</v>
      </c>
      <c r="F72">
        <v>2</v>
      </c>
      <c r="G72" s="5">
        <v>37461</v>
      </c>
      <c r="H72">
        <v>10</v>
      </c>
      <c r="I72" t="s">
        <v>68</v>
      </c>
      <c r="J72" s="5">
        <v>2007</v>
      </c>
      <c r="K72">
        <v>10</v>
      </c>
      <c r="L72">
        <f>'KRWSIP_Program_Baseline Data'!H73</f>
        <v>7.1</v>
      </c>
      <c r="M72">
        <v>1</v>
      </c>
      <c r="P72" s="6"/>
      <c r="V72" s="5">
        <f>IF($M72=1,G72,"")</f>
        <v>37461</v>
      </c>
      <c r="W72" s="5">
        <f>IF($M272=0, G272,"")</f>
        <v>40287</v>
      </c>
      <c r="X72" s="5">
        <f>IF($M72=1,J72,"")</f>
        <v>2007</v>
      </c>
      <c r="Y72" s="5">
        <f>IF($M272=0,J272,"")</f>
        <v>4119</v>
      </c>
      <c r="Z72" s="5">
        <f>IF($M72=1,K72,"")</f>
        <v>10</v>
      </c>
      <c r="AA72">
        <f>IF($M272=0,K272,"")</f>
        <v>43</v>
      </c>
      <c r="AB72">
        <f>IF($M72=1,L72,"")</f>
        <v>7.1</v>
      </c>
      <c r="AC72">
        <f>IF($M272=0,L272,"")</f>
        <v>7.7</v>
      </c>
    </row>
    <row r="73" spans="2:29" x14ac:dyDescent="0.3">
      <c r="B73">
        <v>8</v>
      </c>
      <c r="C73" t="s">
        <v>62</v>
      </c>
      <c r="D73">
        <v>8</v>
      </c>
      <c r="E73">
        <v>1</v>
      </c>
      <c r="F73">
        <v>8</v>
      </c>
      <c r="G73" s="5">
        <v>27092</v>
      </c>
      <c r="H73">
        <v>48</v>
      </c>
      <c r="I73" t="s">
        <v>68</v>
      </c>
      <c r="J73" s="5">
        <v>4452</v>
      </c>
      <c r="K73">
        <v>48</v>
      </c>
      <c r="L73">
        <f>'KRWSIP_Program_Baseline Data'!H74</f>
        <v>4.8</v>
      </c>
      <c r="M73">
        <v>1</v>
      </c>
      <c r="P73" s="6"/>
      <c r="V73" s="5">
        <f>IF($M73=1,G73,"")</f>
        <v>27092</v>
      </c>
      <c r="W73" s="5">
        <f>IF($M273=0, G273,"")</f>
        <v>33508</v>
      </c>
      <c r="X73" s="5">
        <f>IF($M73=1,J73,"")</f>
        <v>4452</v>
      </c>
      <c r="Y73" s="5">
        <f>IF($M273=0,J273,"")</f>
        <v>6421</v>
      </c>
      <c r="Z73" s="5">
        <f>IF($M73=1,K73,"")</f>
        <v>48</v>
      </c>
      <c r="AA73">
        <f>IF($M273=0,K273,"")</f>
        <v>111</v>
      </c>
      <c r="AB73">
        <f>IF($M73=1,L73,"")</f>
        <v>4.8</v>
      </c>
      <c r="AC73">
        <f>IF($M273=0,L273,"")</f>
        <v>4</v>
      </c>
    </row>
    <row r="74" spans="2:29" x14ac:dyDescent="0.3">
      <c r="B74">
        <v>120</v>
      </c>
      <c r="C74" t="s">
        <v>65</v>
      </c>
      <c r="D74">
        <v>8</v>
      </c>
      <c r="E74">
        <v>1</v>
      </c>
      <c r="F74">
        <v>8</v>
      </c>
      <c r="G74" s="5">
        <v>19528</v>
      </c>
      <c r="H74">
        <v>21</v>
      </c>
      <c r="I74" t="s">
        <v>68</v>
      </c>
      <c r="J74" s="5">
        <v>3674</v>
      </c>
      <c r="K74">
        <v>21</v>
      </c>
      <c r="L74">
        <f>'KRWSIP_Program_Baseline Data'!H75</f>
        <v>10.4</v>
      </c>
      <c r="M74">
        <v>1</v>
      </c>
      <c r="P74" s="6"/>
      <c r="V74" s="5">
        <f>IF($M74=1,G74,"")</f>
        <v>19528</v>
      </c>
      <c r="W74" s="5">
        <f>IF($M274=0, G274,"")</f>
        <v>21300</v>
      </c>
      <c r="X74" s="5">
        <f>IF($M74=1,J74,"")</f>
        <v>3674</v>
      </c>
      <c r="Y74" s="5">
        <f>IF($M274=0,J274,"")</f>
        <v>6098</v>
      </c>
      <c r="Z74" s="5">
        <f>IF($M74=1,K74,"")</f>
        <v>21</v>
      </c>
      <c r="AA74">
        <f>IF($M274=0,K274,"")</f>
        <v>102</v>
      </c>
      <c r="AB74">
        <f>IF($M74=1,L74,"")</f>
        <v>10.4</v>
      </c>
      <c r="AC74">
        <f>IF($M274=0,L274,"")</f>
        <v>10.199999999999999</v>
      </c>
    </row>
    <row r="75" spans="2:29" x14ac:dyDescent="0.3">
      <c r="B75">
        <v>337</v>
      </c>
      <c r="C75" t="s">
        <v>65</v>
      </c>
      <c r="D75">
        <v>5</v>
      </c>
      <c r="E75">
        <v>1</v>
      </c>
      <c r="F75">
        <v>5</v>
      </c>
      <c r="G75" s="5">
        <v>18069</v>
      </c>
      <c r="H75">
        <v>43</v>
      </c>
      <c r="I75" t="s">
        <v>68</v>
      </c>
      <c r="J75" s="5">
        <v>3575</v>
      </c>
      <c r="K75">
        <v>43</v>
      </c>
      <c r="L75">
        <f>'KRWSIP_Program_Baseline Data'!H76</f>
        <v>0.8</v>
      </c>
      <c r="M75">
        <v>1</v>
      </c>
      <c r="P75" s="6"/>
      <c r="V75" s="5">
        <f>IF($M75=1,G75,"")</f>
        <v>18069</v>
      </c>
      <c r="W75" s="5">
        <f>IF($M275=0, G275,"")</f>
        <v>31521</v>
      </c>
      <c r="X75" s="5">
        <f>IF($M75=1,J75,"")</f>
        <v>3575</v>
      </c>
      <c r="Y75" s="5">
        <f>IF($M275=0,J275,"")</f>
        <v>4541</v>
      </c>
      <c r="Z75" s="5">
        <f>IF($M75=1,K75,"")</f>
        <v>43</v>
      </c>
      <c r="AA75">
        <f>IF($M275=0,K275,"")</f>
        <v>71</v>
      </c>
      <c r="AB75">
        <f>IF($M75=1,L75,"")</f>
        <v>0.8</v>
      </c>
      <c r="AC75">
        <f>IF($M275=0,L275,"")</f>
        <v>0.5</v>
      </c>
    </row>
    <row r="76" spans="2:29" x14ac:dyDescent="0.3">
      <c r="B76">
        <v>322</v>
      </c>
      <c r="C76" t="s">
        <v>65</v>
      </c>
      <c r="D76">
        <v>5</v>
      </c>
      <c r="E76">
        <v>1</v>
      </c>
      <c r="F76">
        <v>5</v>
      </c>
      <c r="G76" s="5">
        <v>18964</v>
      </c>
      <c r="H76">
        <v>42</v>
      </c>
      <c r="I76" t="s">
        <v>67</v>
      </c>
      <c r="J76" s="5">
        <v>3496</v>
      </c>
      <c r="K76">
        <v>42</v>
      </c>
      <c r="L76">
        <f>'KRWSIP_Program_Baseline Data'!H77</f>
        <v>13.5</v>
      </c>
      <c r="M76">
        <v>1</v>
      </c>
      <c r="P76" s="6"/>
      <c r="V76" s="5">
        <f>IF($M76=1,G76,"")</f>
        <v>18964</v>
      </c>
      <c r="W76" s="5">
        <f>IF($M276=0, G276,"")</f>
        <v>23475</v>
      </c>
      <c r="X76" s="5">
        <f>IF($M76=1,J76,"")</f>
        <v>3496</v>
      </c>
      <c r="Y76" s="5">
        <f>IF($M276=0,J276,"")</f>
        <v>4341</v>
      </c>
      <c r="Z76" s="5">
        <f>IF($M76=1,K76,"")</f>
        <v>42</v>
      </c>
      <c r="AA76">
        <f>IF($M276=0,K276,"")</f>
        <v>64</v>
      </c>
      <c r="AB76">
        <f>IF($M76=1,L76,"")</f>
        <v>13.5</v>
      </c>
      <c r="AC76">
        <f>IF($M276=0,L276,"")</f>
        <v>6.5</v>
      </c>
    </row>
    <row r="77" spans="2:29" x14ac:dyDescent="0.3">
      <c r="B77">
        <v>349</v>
      </c>
      <c r="C77" t="s">
        <v>62</v>
      </c>
      <c r="D77">
        <v>4</v>
      </c>
      <c r="E77">
        <v>1</v>
      </c>
      <c r="F77">
        <v>4</v>
      </c>
      <c r="G77" s="5">
        <v>30279</v>
      </c>
      <c r="H77">
        <v>34</v>
      </c>
      <c r="I77" t="s">
        <v>67</v>
      </c>
      <c r="J77" s="5">
        <v>2333</v>
      </c>
      <c r="K77">
        <v>34</v>
      </c>
      <c r="L77">
        <f>'KRWSIP_Program_Baseline Data'!H78</f>
        <v>10.199999999999999</v>
      </c>
      <c r="M77">
        <v>1</v>
      </c>
      <c r="P77" s="6"/>
      <c r="V77" s="5">
        <f>IF($M77=1,G77,"")</f>
        <v>30279</v>
      </c>
      <c r="W77" s="5">
        <f>IF($M277=0, G277,"")</f>
        <v>21594</v>
      </c>
      <c r="X77" s="5">
        <f>IF($M77=1,J77,"")</f>
        <v>2333</v>
      </c>
      <c r="Y77" s="5">
        <f>IF($M277=0,J277,"")</f>
        <v>4600</v>
      </c>
      <c r="Z77" s="5">
        <f>IF($M77=1,K77,"")</f>
        <v>34</v>
      </c>
      <c r="AA77">
        <f>IF($M277=0,K277,"")</f>
        <v>88</v>
      </c>
      <c r="AB77">
        <f>IF($M77=1,L77,"")</f>
        <v>10.199999999999999</v>
      </c>
      <c r="AC77">
        <f>IF($M277=0,L277,"")</f>
        <v>13.6</v>
      </c>
    </row>
    <row r="78" spans="2:29" x14ac:dyDescent="0.3">
      <c r="B78">
        <v>293</v>
      </c>
      <c r="C78" t="s">
        <v>65</v>
      </c>
      <c r="D78">
        <v>8</v>
      </c>
      <c r="E78">
        <v>1</v>
      </c>
      <c r="F78">
        <v>8</v>
      </c>
      <c r="G78" s="5">
        <v>31804</v>
      </c>
      <c r="H78">
        <v>40</v>
      </c>
      <c r="I78" t="s">
        <v>67</v>
      </c>
      <c r="J78" s="5">
        <v>4223</v>
      </c>
      <c r="K78">
        <v>40</v>
      </c>
      <c r="L78">
        <f>'KRWSIP_Program_Baseline Data'!H79</f>
        <v>9</v>
      </c>
      <c r="M78">
        <v>1</v>
      </c>
      <c r="P78" s="6"/>
      <c r="V78" s="5">
        <f>IF($M78=1,G78,"")</f>
        <v>31804</v>
      </c>
      <c r="W78" s="5">
        <f>IF($M278=0, G278,"")</f>
        <v>41069</v>
      </c>
      <c r="X78" s="5">
        <f>IF($M78=1,J78,"")</f>
        <v>4223</v>
      </c>
      <c r="Y78" s="5">
        <f>IF($M278=0,J278,"")</f>
        <v>5327</v>
      </c>
      <c r="Z78" s="5">
        <f>IF($M78=1,K78,"")</f>
        <v>40</v>
      </c>
      <c r="AA78">
        <f>IF($M278=0,K278,"")</f>
        <v>24</v>
      </c>
      <c r="AB78">
        <f>IF($M78=1,L78,"")</f>
        <v>9</v>
      </c>
      <c r="AC78">
        <f>IF($M278=0,L278,"")</f>
        <v>10.199999999999999</v>
      </c>
    </row>
    <row r="79" spans="2:29" x14ac:dyDescent="0.3">
      <c r="B79">
        <v>110</v>
      </c>
      <c r="C79" t="s">
        <v>65</v>
      </c>
      <c r="D79">
        <v>6</v>
      </c>
      <c r="E79">
        <v>1</v>
      </c>
      <c r="F79">
        <v>6</v>
      </c>
      <c r="G79" s="5">
        <v>26038</v>
      </c>
      <c r="H79">
        <v>41</v>
      </c>
      <c r="I79" t="s">
        <v>69</v>
      </c>
      <c r="J79" s="5">
        <v>3524</v>
      </c>
      <c r="K79">
        <v>41</v>
      </c>
      <c r="L79">
        <f>'KRWSIP_Program_Baseline Data'!H80</f>
        <v>8.3000000000000007</v>
      </c>
      <c r="M79">
        <v>1</v>
      </c>
      <c r="P79" s="6"/>
      <c r="V79" s="5">
        <f>IF($M79=1,G79,"")</f>
        <v>26038</v>
      </c>
      <c r="W79" s="5">
        <f>IF($M279=0, G279,"")</f>
        <v>34571</v>
      </c>
      <c r="X79" s="5">
        <f>IF($M79=1,J79,"")</f>
        <v>3524</v>
      </c>
      <c r="Y79" s="5">
        <f>IF($M279=0,J279,"")</f>
        <v>4370</v>
      </c>
      <c r="Z79" s="5">
        <f>IF($M79=1,K79,"")</f>
        <v>41</v>
      </c>
      <c r="AA79">
        <f>IF($M279=0,K279,"")</f>
        <v>23</v>
      </c>
      <c r="AB79">
        <f>IF($M79=1,L79,"")</f>
        <v>8.3000000000000007</v>
      </c>
      <c r="AC79">
        <f>IF($M279=0,L279,"")</f>
        <v>10</v>
      </c>
    </row>
    <row r="80" spans="2:29" x14ac:dyDescent="0.3">
      <c r="B80">
        <v>310</v>
      </c>
      <c r="C80" t="s">
        <v>62</v>
      </c>
      <c r="D80">
        <v>4</v>
      </c>
      <c r="E80">
        <v>1</v>
      </c>
      <c r="F80">
        <v>4</v>
      </c>
      <c r="G80" s="5">
        <v>51473</v>
      </c>
      <c r="H80">
        <v>21</v>
      </c>
      <c r="I80" t="s">
        <v>68</v>
      </c>
      <c r="J80" s="5">
        <v>3540</v>
      </c>
      <c r="K80">
        <v>21</v>
      </c>
      <c r="L80">
        <f>'KRWSIP_Program_Baseline Data'!H81</f>
        <v>5.8</v>
      </c>
      <c r="M80">
        <v>1</v>
      </c>
      <c r="P80" s="6"/>
      <c r="V80" s="5">
        <f>IF($M80=1,G80,"")</f>
        <v>51473</v>
      </c>
      <c r="W80" s="5">
        <f>IF($M280=0, G280,"")</f>
        <v>36009</v>
      </c>
      <c r="X80" s="5">
        <f>IF($M80=1,J80,"")</f>
        <v>3540</v>
      </c>
      <c r="Y80" s="5">
        <f>IF($M280=0,J280,"")</f>
        <v>2685</v>
      </c>
      <c r="Z80" s="5">
        <f>IF($M80=1,K80,"")</f>
        <v>21</v>
      </c>
      <c r="AA80">
        <f>IF($M280=0,K280,"")</f>
        <v>65</v>
      </c>
      <c r="AB80">
        <f>IF($M80=1,L80,"")</f>
        <v>5.8</v>
      </c>
      <c r="AC80">
        <f>IF($M280=0,L280,"")</f>
        <v>2.4</v>
      </c>
    </row>
    <row r="81" spans="2:29" x14ac:dyDescent="0.3">
      <c r="B81">
        <v>301</v>
      </c>
      <c r="C81" t="s">
        <v>64</v>
      </c>
      <c r="D81">
        <v>7</v>
      </c>
      <c r="E81">
        <v>1</v>
      </c>
      <c r="F81">
        <v>7</v>
      </c>
      <c r="G81" s="5">
        <v>23486</v>
      </c>
      <c r="H81">
        <v>42</v>
      </c>
      <c r="I81" t="s">
        <v>68</v>
      </c>
      <c r="J81" s="5">
        <v>3903</v>
      </c>
      <c r="K81">
        <v>42</v>
      </c>
      <c r="L81">
        <f>'KRWSIP_Program_Baseline Data'!H82</f>
        <v>5.9</v>
      </c>
      <c r="M81">
        <v>1</v>
      </c>
      <c r="P81" s="6"/>
      <c r="V81" s="5">
        <f>IF($M81=1,G81,"")</f>
        <v>23486</v>
      </c>
      <c r="W81" s="5">
        <f>IF($M281=0, G281,"")</f>
        <v>32879</v>
      </c>
      <c r="X81" s="5">
        <f>IF($M81=1,J81,"")</f>
        <v>3903</v>
      </c>
      <c r="Y81" s="5">
        <f>IF($M281=0,J281,"")</f>
        <v>5198</v>
      </c>
      <c r="Z81" s="5">
        <f>IF($M81=1,K81,"")</f>
        <v>42</v>
      </c>
      <c r="AA81">
        <f>IF($M281=0,K281,"")</f>
        <v>34</v>
      </c>
      <c r="AB81">
        <f>IF($M81=1,L81,"")</f>
        <v>5.9</v>
      </c>
      <c r="AC81">
        <f>IF($M281=0,L281,"")</f>
        <v>6.3</v>
      </c>
    </row>
    <row r="82" spans="2:29" x14ac:dyDescent="0.3">
      <c r="B82">
        <v>21</v>
      </c>
      <c r="C82" t="s">
        <v>64</v>
      </c>
      <c r="D82">
        <v>4</v>
      </c>
      <c r="E82">
        <v>1</v>
      </c>
      <c r="F82">
        <v>4</v>
      </c>
      <c r="G82" s="5">
        <v>22112</v>
      </c>
      <c r="H82">
        <v>34</v>
      </c>
      <c r="I82" t="s">
        <v>68</v>
      </c>
      <c r="J82" s="5">
        <v>2281</v>
      </c>
      <c r="K82">
        <v>34</v>
      </c>
      <c r="L82">
        <f>'KRWSIP_Program_Baseline Data'!H83</f>
        <v>8.1999999999999993</v>
      </c>
      <c r="M82">
        <v>1</v>
      </c>
      <c r="P82" s="6"/>
      <c r="V82" s="5">
        <f>IF($M82=1,G82,"")</f>
        <v>22112</v>
      </c>
      <c r="W82" s="5">
        <f>IF($M282=0, G282,"")</f>
        <v>21146</v>
      </c>
      <c r="X82" s="5">
        <f>IF($M82=1,J82,"")</f>
        <v>2281</v>
      </c>
      <c r="Y82" s="5">
        <f>IF($M282=0,J282,"")</f>
        <v>4290</v>
      </c>
      <c r="Z82" s="5">
        <f>IF($M82=1,K82,"")</f>
        <v>34</v>
      </c>
      <c r="AA82">
        <f>IF($M282=0,K282,"")</f>
        <v>88</v>
      </c>
      <c r="AB82">
        <f>IF($M82=1,L82,"")</f>
        <v>8.1999999999999993</v>
      </c>
      <c r="AC82">
        <f>IF($M282=0,L282,"")</f>
        <v>9.6</v>
      </c>
    </row>
    <row r="83" spans="2:29" x14ac:dyDescent="0.3">
      <c r="B83">
        <v>303</v>
      </c>
      <c r="C83" t="s">
        <v>64</v>
      </c>
      <c r="D83">
        <v>2</v>
      </c>
      <c r="E83">
        <v>1</v>
      </c>
      <c r="F83">
        <v>2</v>
      </c>
      <c r="G83" s="5">
        <v>38242</v>
      </c>
      <c r="H83">
        <v>25</v>
      </c>
      <c r="I83" t="s">
        <v>67</v>
      </c>
      <c r="J83" s="5">
        <v>1939</v>
      </c>
      <c r="K83">
        <v>25</v>
      </c>
      <c r="L83">
        <f>'KRWSIP_Program_Baseline Data'!H84</f>
        <v>3.1</v>
      </c>
      <c r="M83">
        <v>1</v>
      </c>
      <c r="P83" s="6"/>
      <c r="V83" s="5">
        <f>IF($M83=1,G83,"")</f>
        <v>38242</v>
      </c>
      <c r="W83" s="5">
        <f>IF($M283=0, G283,"")</f>
        <v>33208</v>
      </c>
      <c r="X83" s="5">
        <f>IF($M83=1,J83,"")</f>
        <v>1939</v>
      </c>
      <c r="Y83" s="5">
        <f>IF($M283=0,J283,"")</f>
        <v>5848</v>
      </c>
      <c r="Z83" s="5">
        <f>IF($M83=1,K83,"")</f>
        <v>25</v>
      </c>
      <c r="AA83">
        <f>IF($M283=0,K283,"")</f>
        <v>33</v>
      </c>
      <c r="AB83">
        <f>IF($M83=1,L83,"")</f>
        <v>3.1</v>
      </c>
      <c r="AC83">
        <f>IF($M283=0,L283,"")</f>
        <v>4.5</v>
      </c>
    </row>
    <row r="84" spans="2:29" x14ac:dyDescent="0.3">
      <c r="B84">
        <v>150</v>
      </c>
      <c r="C84" t="s">
        <v>63</v>
      </c>
      <c r="D84">
        <v>8</v>
      </c>
      <c r="E84">
        <v>1</v>
      </c>
      <c r="F84">
        <v>8</v>
      </c>
      <c r="G84" s="5">
        <v>37993</v>
      </c>
      <c r="H84">
        <v>53</v>
      </c>
      <c r="I84" t="s">
        <v>66</v>
      </c>
      <c r="J84" s="5">
        <v>3760</v>
      </c>
      <c r="K84">
        <v>53</v>
      </c>
      <c r="L84">
        <f>'KRWSIP_Program_Baseline Data'!H85</f>
        <v>1.4</v>
      </c>
      <c r="M84">
        <v>1</v>
      </c>
      <c r="P84" s="6"/>
      <c r="V84" s="5">
        <f>IF($M84=1,G84,"")</f>
        <v>37993</v>
      </c>
      <c r="W84" s="5">
        <f>IF($M284=0, G284,"")</f>
        <v>31148</v>
      </c>
      <c r="X84" s="5">
        <f>IF($M84=1,J84,"")</f>
        <v>3760</v>
      </c>
      <c r="Y84" s="5">
        <f>IF($M284=0,J284,"")</f>
        <v>4073</v>
      </c>
      <c r="Z84" s="5">
        <f>IF($M84=1,K84,"")</f>
        <v>53</v>
      </c>
      <c r="AA84">
        <f>IF($M284=0,K284,"")</f>
        <v>99</v>
      </c>
      <c r="AB84">
        <f>IF($M84=1,L84,"")</f>
        <v>1.4</v>
      </c>
      <c r="AC84">
        <f>IF($M284=0,L284,"")</f>
        <v>0.5</v>
      </c>
    </row>
    <row r="85" spans="2:29" x14ac:dyDescent="0.3">
      <c r="B85">
        <v>53</v>
      </c>
      <c r="C85" t="s">
        <v>64</v>
      </c>
      <c r="D85">
        <v>4</v>
      </c>
      <c r="E85">
        <v>1</v>
      </c>
      <c r="F85">
        <v>4</v>
      </c>
      <c r="G85" s="5">
        <v>30619</v>
      </c>
      <c r="H85">
        <v>48</v>
      </c>
      <c r="I85" t="s">
        <v>69</v>
      </c>
      <c r="J85" s="5">
        <v>3045</v>
      </c>
      <c r="K85">
        <v>48</v>
      </c>
      <c r="L85">
        <f>'KRWSIP_Program_Baseline Data'!H86</f>
        <v>6.2</v>
      </c>
      <c r="M85">
        <v>1</v>
      </c>
      <c r="P85" s="6"/>
      <c r="V85" s="5">
        <f>IF($M85=1,G85,"")</f>
        <v>30619</v>
      </c>
      <c r="W85" s="5">
        <f>IF($M285=0, G285,"")</f>
        <v>30092</v>
      </c>
      <c r="X85" s="5">
        <f>IF($M85=1,J85,"")</f>
        <v>3045</v>
      </c>
      <c r="Y85" s="5">
        <f>IF($M285=0,J285,"")</f>
        <v>2726</v>
      </c>
      <c r="Z85" s="5">
        <f>IF($M85=1,K85,"")</f>
        <v>48</v>
      </c>
      <c r="AA85">
        <f>IF($M285=0,K285,"")</f>
        <v>46</v>
      </c>
      <c r="AB85">
        <f>IF($M85=1,L85,"")</f>
        <v>6.2</v>
      </c>
      <c r="AC85">
        <f>IF($M285=0,L285,"")</f>
        <v>14.8</v>
      </c>
    </row>
    <row r="86" spans="2:29" x14ac:dyDescent="0.3">
      <c r="B86">
        <v>133</v>
      </c>
      <c r="C86" t="s">
        <v>64</v>
      </c>
      <c r="D86">
        <v>8</v>
      </c>
      <c r="E86">
        <v>1</v>
      </c>
      <c r="F86">
        <v>8</v>
      </c>
      <c r="G86" s="5">
        <v>35060</v>
      </c>
      <c r="H86">
        <v>22</v>
      </c>
      <c r="I86" t="s">
        <v>66</v>
      </c>
      <c r="J86" s="5">
        <v>3512</v>
      </c>
      <c r="K86">
        <v>22</v>
      </c>
      <c r="L86">
        <f>'KRWSIP_Program_Baseline Data'!H87</f>
        <v>1</v>
      </c>
      <c r="M86">
        <v>1</v>
      </c>
      <c r="P86" s="6"/>
      <c r="V86" s="5">
        <f>IF($M86=1,G86,"")</f>
        <v>35060</v>
      </c>
      <c r="W86" s="5">
        <f>IF($M286=0, G286,"")</f>
        <v>30071</v>
      </c>
      <c r="X86" s="5">
        <f>IF($M86=1,J86,"")</f>
        <v>3512</v>
      </c>
      <c r="Y86" s="5">
        <f>IF($M286=0,J286,"")</f>
        <v>4954</v>
      </c>
      <c r="Z86" s="5">
        <f>IF($M86=1,K86,"")</f>
        <v>22</v>
      </c>
      <c r="AA86">
        <f>IF($M286=0,K286,"")</f>
        <v>25</v>
      </c>
      <c r="AB86">
        <f>IF($M86=1,L86,"")</f>
        <v>1</v>
      </c>
      <c r="AC86">
        <f>IF($M286=0,L286,"")</f>
        <v>4.5</v>
      </c>
    </row>
    <row r="87" spans="2:29" x14ac:dyDescent="0.3">
      <c r="B87">
        <v>34</v>
      </c>
      <c r="C87" t="s">
        <v>65</v>
      </c>
      <c r="D87">
        <v>5</v>
      </c>
      <c r="E87">
        <v>1</v>
      </c>
      <c r="F87">
        <v>5</v>
      </c>
      <c r="G87" s="5">
        <v>32235</v>
      </c>
      <c r="H87">
        <v>43</v>
      </c>
      <c r="I87" t="s">
        <v>69</v>
      </c>
      <c r="J87" s="5">
        <v>3689</v>
      </c>
      <c r="K87">
        <v>43</v>
      </c>
      <c r="L87">
        <f>'KRWSIP_Program_Baseline Data'!H88</f>
        <v>4.7</v>
      </c>
      <c r="M87">
        <v>1</v>
      </c>
      <c r="P87" s="6"/>
      <c r="V87" s="5">
        <f>IF($M87=1,G87,"")</f>
        <v>32235</v>
      </c>
      <c r="W87" s="5">
        <f>IF($M287=0, G287,"")</f>
        <v>27685</v>
      </c>
      <c r="X87" s="5">
        <f>IF($M87=1,J87,"")</f>
        <v>3689</v>
      </c>
      <c r="Y87" s="5">
        <f>IF($M287=0,J287,"")</f>
        <v>3372</v>
      </c>
      <c r="Z87" s="5">
        <f>IF($M87=1,K87,"")</f>
        <v>43</v>
      </c>
      <c r="AA87">
        <f>IF($M287=0,K287,"")</f>
        <v>87</v>
      </c>
      <c r="AB87">
        <f>IF($M87=1,L87,"")</f>
        <v>4.7</v>
      </c>
      <c r="AC87">
        <f>IF($M287=0,L287,"")</f>
        <v>11.5</v>
      </c>
    </row>
    <row r="88" spans="2:29" x14ac:dyDescent="0.3">
      <c r="B88">
        <v>383</v>
      </c>
      <c r="C88" t="s">
        <v>63</v>
      </c>
      <c r="D88">
        <v>4</v>
      </c>
      <c r="E88">
        <v>1</v>
      </c>
      <c r="F88">
        <v>4</v>
      </c>
      <c r="G88" s="5">
        <v>23867</v>
      </c>
      <c r="H88">
        <v>9</v>
      </c>
      <c r="I88" t="s">
        <v>67</v>
      </c>
      <c r="J88" s="5">
        <v>2745</v>
      </c>
      <c r="K88">
        <v>9</v>
      </c>
      <c r="L88">
        <f>'KRWSIP_Program_Baseline Data'!H89</f>
        <v>12</v>
      </c>
      <c r="M88">
        <v>1</v>
      </c>
      <c r="P88" s="6"/>
      <c r="V88" s="5">
        <f>IF($M88=1,G88,"")</f>
        <v>23867</v>
      </c>
      <c r="W88" s="5">
        <f>IF($M288=0, G288,"")</f>
        <v>21616</v>
      </c>
      <c r="X88" s="5">
        <f>IF($M88=1,J88,"")</f>
        <v>2745</v>
      </c>
      <c r="Y88" s="5">
        <f>IF($M288=0,J288,"")</f>
        <v>5826</v>
      </c>
      <c r="Z88" s="5">
        <f>IF($M88=1,K88,"")</f>
        <v>9</v>
      </c>
      <c r="AA88">
        <f>IF($M288=0,K288,"")</f>
        <v>116</v>
      </c>
      <c r="AB88">
        <f>IF($M88=1,L88,"")</f>
        <v>12</v>
      </c>
      <c r="AC88">
        <f>IF($M288=0,L288,"")</f>
        <v>2.8</v>
      </c>
    </row>
    <row r="89" spans="2:29" x14ac:dyDescent="0.3">
      <c r="B89">
        <v>290</v>
      </c>
      <c r="C89" t="s">
        <v>63</v>
      </c>
      <c r="D89">
        <v>6</v>
      </c>
      <c r="E89">
        <v>1</v>
      </c>
      <c r="F89">
        <v>6</v>
      </c>
      <c r="G89" s="5">
        <v>23421</v>
      </c>
      <c r="H89">
        <v>8</v>
      </c>
      <c r="I89" t="s">
        <v>67</v>
      </c>
      <c r="J89" s="5">
        <v>3444</v>
      </c>
      <c r="K89">
        <v>8</v>
      </c>
      <c r="L89">
        <f>'KRWSIP_Program_Baseline Data'!H90</f>
        <v>3.1</v>
      </c>
      <c r="M89">
        <v>1</v>
      </c>
      <c r="P89" s="6"/>
      <c r="V89" s="5">
        <f>IF($M89=1,G89,"")</f>
        <v>23421</v>
      </c>
      <c r="W89" s="5">
        <f>IF($M289=0, G289,"")</f>
        <v>30291</v>
      </c>
      <c r="X89" s="5">
        <f>IF($M89=1,J89,"")</f>
        <v>3444</v>
      </c>
      <c r="Y89" s="5">
        <f>IF($M289=0,J289,"")</f>
        <v>4440</v>
      </c>
      <c r="Z89" s="5">
        <f>IF($M89=1,K89,"")</f>
        <v>8</v>
      </c>
      <c r="AA89">
        <f>IF($M289=0,K289,"")</f>
        <v>16</v>
      </c>
      <c r="AB89">
        <f>IF($M89=1,L89,"")</f>
        <v>3.1</v>
      </c>
      <c r="AC89">
        <f>IF($M289=0,L289,"")</f>
        <v>9.1999999999999993</v>
      </c>
    </row>
    <row r="90" spans="2:29" x14ac:dyDescent="0.3">
      <c r="B90">
        <v>235</v>
      </c>
      <c r="C90" t="s">
        <v>62</v>
      </c>
      <c r="D90">
        <v>3</v>
      </c>
      <c r="E90">
        <v>1</v>
      </c>
      <c r="F90">
        <v>3</v>
      </c>
      <c r="G90" s="5">
        <v>41420</v>
      </c>
      <c r="H90">
        <v>33</v>
      </c>
      <c r="I90" t="s">
        <v>69</v>
      </c>
      <c r="J90" s="5">
        <v>2875</v>
      </c>
      <c r="K90">
        <v>33</v>
      </c>
      <c r="L90">
        <f>'KRWSIP_Program_Baseline Data'!H91</f>
        <v>3.9</v>
      </c>
      <c r="M90">
        <v>1</v>
      </c>
      <c r="P90" s="6"/>
      <c r="V90" s="5">
        <f>IF($M90=1,G90,"")</f>
        <v>41420</v>
      </c>
      <c r="W90" s="5">
        <f>IF($M290=0, G290,"")</f>
        <v>32256</v>
      </c>
      <c r="X90" s="5">
        <f>IF($M90=1,J90,"")</f>
        <v>2875</v>
      </c>
      <c r="Y90" s="5">
        <f>IF($M290=0,J290,"")</f>
        <v>5449</v>
      </c>
      <c r="Z90" s="5">
        <f>IF($M90=1,K90,"")</f>
        <v>33</v>
      </c>
      <c r="AA90">
        <f>IF($M290=0,K290,"")</f>
        <v>22</v>
      </c>
      <c r="AB90">
        <f>IF($M90=1,L90,"")</f>
        <v>3.9</v>
      </c>
      <c r="AC90">
        <f>IF($M290=0,L290,"")</f>
        <v>9.4</v>
      </c>
    </row>
    <row r="91" spans="2:29" x14ac:dyDescent="0.3">
      <c r="B91">
        <v>358</v>
      </c>
      <c r="C91" t="s">
        <v>65</v>
      </c>
      <c r="D91">
        <v>4</v>
      </c>
      <c r="E91">
        <v>1</v>
      </c>
      <c r="F91">
        <v>4</v>
      </c>
      <c r="G91" s="5">
        <v>29430</v>
      </c>
      <c r="H91">
        <v>27</v>
      </c>
      <c r="I91" t="s">
        <v>67</v>
      </c>
      <c r="J91" s="5">
        <v>2909</v>
      </c>
      <c r="K91">
        <v>27</v>
      </c>
      <c r="L91">
        <f>'KRWSIP_Program_Baseline Data'!H92</f>
        <v>9</v>
      </c>
      <c r="M91">
        <v>1</v>
      </c>
      <c r="P91" s="6"/>
      <c r="V91" s="5">
        <f>IF($M91=1,G91,"")</f>
        <v>29430</v>
      </c>
      <c r="W91" s="5">
        <f>IF($M291=0, G291,"")</f>
        <v>21232</v>
      </c>
      <c r="X91" s="5">
        <f>IF($M91=1,J91,"")</f>
        <v>2909</v>
      </c>
      <c r="Y91" s="5">
        <f>IF($M291=0,J291,"")</f>
        <v>5213</v>
      </c>
      <c r="Z91" s="5">
        <f>IF($M91=1,K91,"")</f>
        <v>27</v>
      </c>
      <c r="AA91">
        <f>IF($M291=0,K291,"")</f>
        <v>84</v>
      </c>
      <c r="AB91">
        <f>IF($M91=1,L91,"")</f>
        <v>9</v>
      </c>
      <c r="AC91">
        <f>IF($M291=0,L291,"")</f>
        <v>10.199999999999999</v>
      </c>
    </row>
    <row r="92" spans="2:29" x14ac:dyDescent="0.3">
      <c r="B92">
        <v>258</v>
      </c>
      <c r="C92" t="s">
        <v>63</v>
      </c>
      <c r="D92">
        <v>3</v>
      </c>
      <c r="E92">
        <v>1</v>
      </c>
      <c r="F92">
        <v>3</v>
      </c>
      <c r="G92" s="5">
        <v>23081</v>
      </c>
      <c r="H92">
        <v>26</v>
      </c>
      <c r="I92" t="s">
        <v>67</v>
      </c>
      <c r="J92" s="5">
        <v>2407</v>
      </c>
      <c r="K92">
        <v>26</v>
      </c>
      <c r="L92">
        <f>'KRWSIP_Program_Baseline Data'!H93</f>
        <v>6.1</v>
      </c>
      <c r="M92">
        <v>1</v>
      </c>
      <c r="P92" s="6"/>
      <c r="V92" s="5">
        <f>IF($M92=1,G92,"")</f>
        <v>23081</v>
      </c>
      <c r="W92" s="5">
        <f>IF($M292=0, G292,"")</f>
        <v>40980</v>
      </c>
      <c r="X92" s="5">
        <f>IF($M92=1,J92,"")</f>
        <v>2407</v>
      </c>
      <c r="Y92" s="5">
        <f>IF($M292=0,J292,"")</f>
        <v>4083</v>
      </c>
      <c r="Z92" s="5">
        <f>IF($M92=1,K92,"")</f>
        <v>26</v>
      </c>
      <c r="AA92">
        <f>IF($M292=0,K292,"")</f>
        <v>50</v>
      </c>
      <c r="AB92">
        <f>IF($M92=1,L92,"")</f>
        <v>6.1</v>
      </c>
      <c r="AC92">
        <f>IF($M292=0,L292,"")</f>
        <v>3.7</v>
      </c>
    </row>
    <row r="93" spans="2:29" x14ac:dyDescent="0.3">
      <c r="B93">
        <v>203</v>
      </c>
      <c r="C93" t="s">
        <v>62</v>
      </c>
      <c r="D93">
        <v>4</v>
      </c>
      <c r="E93">
        <v>1</v>
      </c>
      <c r="F93">
        <v>4</v>
      </c>
      <c r="G93" s="5">
        <v>25384</v>
      </c>
      <c r="H93">
        <v>19</v>
      </c>
      <c r="I93" t="s">
        <v>67</v>
      </c>
      <c r="J93" s="5">
        <v>2810</v>
      </c>
      <c r="K93">
        <v>19</v>
      </c>
      <c r="L93">
        <f>'KRWSIP_Program_Baseline Data'!H94</f>
        <v>4.5999999999999996</v>
      </c>
      <c r="M93">
        <v>1</v>
      </c>
      <c r="P93" s="6"/>
      <c r="V93" s="5">
        <f>IF($M93=1,G93,"")</f>
        <v>25384</v>
      </c>
      <c r="W93" s="5">
        <f>IF($M293=0, G293,"")</f>
        <v>28075</v>
      </c>
      <c r="X93" s="5">
        <f>IF($M93=1,J93,"")</f>
        <v>2810</v>
      </c>
      <c r="Y93" s="5">
        <f>IF($M293=0,J293,"")</f>
        <v>5679</v>
      </c>
      <c r="Z93" s="5">
        <f>IF($M93=1,K93,"")</f>
        <v>19</v>
      </c>
      <c r="AA93">
        <f>IF($M293=0,K293,"")</f>
        <v>20</v>
      </c>
      <c r="AB93">
        <f>IF($M93=1,L93,"")</f>
        <v>4.5999999999999996</v>
      </c>
      <c r="AC93">
        <f>IF($M293=0,L293,"")</f>
        <v>9.3000000000000007</v>
      </c>
    </row>
    <row r="94" spans="2:29" x14ac:dyDescent="0.3">
      <c r="B94">
        <v>311</v>
      </c>
      <c r="C94" t="s">
        <v>65</v>
      </c>
      <c r="D94">
        <v>6</v>
      </c>
      <c r="E94">
        <v>1</v>
      </c>
      <c r="F94">
        <v>6</v>
      </c>
      <c r="G94" s="5">
        <v>29883</v>
      </c>
      <c r="H94">
        <v>43</v>
      </c>
      <c r="I94" t="s">
        <v>67</v>
      </c>
      <c r="J94" s="5">
        <v>3424</v>
      </c>
      <c r="K94">
        <v>43</v>
      </c>
      <c r="L94">
        <f>'KRWSIP_Program_Baseline Data'!H95</f>
        <v>5</v>
      </c>
      <c r="M94">
        <v>1</v>
      </c>
      <c r="P94" s="6"/>
      <c r="V94" s="5">
        <f>IF($M94=1,G94,"")</f>
        <v>29883</v>
      </c>
      <c r="W94" s="5">
        <f>IF($M294=0, G294,"")</f>
        <v>20848</v>
      </c>
      <c r="X94" s="5">
        <f>IF($M94=1,J94,"")</f>
        <v>3424</v>
      </c>
      <c r="Y94" s="5">
        <f>IF($M294=0,J294,"")</f>
        <v>3287</v>
      </c>
      <c r="Z94" s="5">
        <f>IF($M94=1,K94,"")</f>
        <v>43</v>
      </c>
      <c r="AA94">
        <f>IF($M294=0,K294,"")</f>
        <v>55</v>
      </c>
      <c r="AB94">
        <f>IF($M94=1,L94,"")</f>
        <v>5</v>
      </c>
      <c r="AC94">
        <f>IF($M294=0,L294,"")</f>
        <v>4.5999999999999996</v>
      </c>
    </row>
    <row r="95" spans="2:29" x14ac:dyDescent="0.3">
      <c r="B95">
        <v>368</v>
      </c>
      <c r="C95" t="s">
        <v>65</v>
      </c>
      <c r="D95">
        <v>5</v>
      </c>
      <c r="E95">
        <v>1</v>
      </c>
      <c r="F95">
        <v>5</v>
      </c>
      <c r="G95" s="5">
        <v>37398</v>
      </c>
      <c r="H95">
        <v>27</v>
      </c>
      <c r="I95" t="s">
        <v>68</v>
      </c>
      <c r="J95" s="5">
        <v>4062</v>
      </c>
      <c r="K95">
        <v>27</v>
      </c>
      <c r="L95">
        <f>'KRWSIP_Program_Baseline Data'!H96</f>
        <v>5.8</v>
      </c>
      <c r="M95">
        <v>1</v>
      </c>
      <c r="P95" s="6"/>
      <c r="V95" s="5">
        <f>IF($M95=1,G95,"")</f>
        <v>37398</v>
      </c>
      <c r="W95" s="5">
        <f>IF($M295=0, G295,"")</f>
        <v>20830</v>
      </c>
      <c r="X95" s="5">
        <f>IF($M95=1,J95,"")</f>
        <v>4062</v>
      </c>
      <c r="Y95" s="5">
        <f>IF($M295=0,J295,"")</f>
        <v>3963</v>
      </c>
      <c r="Z95" s="5">
        <f>IF($M95=1,K95,"")</f>
        <v>27</v>
      </c>
      <c r="AA95">
        <f>IF($M295=0,K295,"")</f>
        <v>51</v>
      </c>
      <c r="AB95">
        <f>IF($M95=1,L95,"")</f>
        <v>5.8</v>
      </c>
      <c r="AC95">
        <f>IF($M295=0,L295,"")</f>
        <v>4.4000000000000004</v>
      </c>
    </row>
    <row r="96" spans="2:29" x14ac:dyDescent="0.3">
      <c r="B96">
        <v>26</v>
      </c>
      <c r="C96" t="s">
        <v>62</v>
      </c>
      <c r="D96">
        <v>6</v>
      </c>
      <c r="E96">
        <v>1</v>
      </c>
      <c r="F96">
        <v>6</v>
      </c>
      <c r="G96" s="5">
        <v>48669</v>
      </c>
      <c r="H96">
        <v>48</v>
      </c>
      <c r="I96" t="s">
        <v>69</v>
      </c>
      <c r="J96" s="5">
        <v>3807</v>
      </c>
      <c r="K96">
        <v>48</v>
      </c>
      <c r="L96">
        <f>'KRWSIP_Program_Baseline Data'!H97</f>
        <v>14.1</v>
      </c>
      <c r="M96">
        <v>1</v>
      </c>
      <c r="P96" s="6"/>
      <c r="V96" s="5">
        <f>IF($M96=1,G96,"")</f>
        <v>48669</v>
      </c>
      <c r="W96" s="5">
        <f>IF($M296=0, G296,"")</f>
        <v>14074</v>
      </c>
      <c r="X96" s="5">
        <f>IF($M96=1,J96,"")</f>
        <v>3807</v>
      </c>
      <c r="Y96" s="5">
        <f>IF($M296=0,J296,"")</f>
        <v>4662</v>
      </c>
      <c r="Z96" s="5">
        <f>IF($M96=1,K96,"")</f>
        <v>48</v>
      </c>
      <c r="AA96">
        <f>IF($M296=0,K296,"")</f>
        <v>56</v>
      </c>
      <c r="AB96">
        <f>IF($M96=1,L96,"")</f>
        <v>14.1</v>
      </c>
      <c r="AC96">
        <f>IF($M296=0,L296,"")</f>
        <v>3.5</v>
      </c>
    </row>
    <row r="97" spans="2:29" x14ac:dyDescent="0.3">
      <c r="B97">
        <v>268</v>
      </c>
      <c r="C97" t="s">
        <v>62</v>
      </c>
      <c r="D97">
        <v>4</v>
      </c>
      <c r="E97">
        <v>1</v>
      </c>
      <c r="F97">
        <v>4</v>
      </c>
      <c r="G97" s="5">
        <v>48620</v>
      </c>
      <c r="H97">
        <v>14</v>
      </c>
      <c r="I97" t="s">
        <v>68</v>
      </c>
      <c r="J97" s="5">
        <v>3656</v>
      </c>
      <c r="K97">
        <v>14</v>
      </c>
      <c r="L97">
        <f>'KRWSIP_Program_Baseline Data'!H98</f>
        <v>1.4</v>
      </c>
      <c r="M97">
        <v>1</v>
      </c>
      <c r="P97" s="6"/>
      <c r="V97" s="5">
        <f>IF($M97=1,G97,"")</f>
        <v>48620</v>
      </c>
      <c r="W97" s="5">
        <f>IF($M297=0, G297,"")</f>
        <v>34866</v>
      </c>
      <c r="X97" s="5">
        <f>IF($M97=1,J97,"")</f>
        <v>3656</v>
      </c>
      <c r="Y97" s="5">
        <f>IF($M297=0,J297,"")</f>
        <v>6348</v>
      </c>
      <c r="Z97" s="5">
        <f>IF($M97=1,K97,"")</f>
        <v>14</v>
      </c>
      <c r="AA97">
        <f>IF($M297=0,K297,"")</f>
        <v>109</v>
      </c>
      <c r="AB97">
        <f>IF($M97=1,L97,"")</f>
        <v>1.4</v>
      </c>
      <c r="AC97">
        <f>IF($M297=0,L297,"")</f>
        <v>6</v>
      </c>
    </row>
    <row r="98" spans="2:29" x14ac:dyDescent="0.3">
      <c r="B98">
        <v>4</v>
      </c>
      <c r="C98" t="s">
        <v>63</v>
      </c>
      <c r="D98">
        <v>6</v>
      </c>
      <c r="E98">
        <v>1</v>
      </c>
      <c r="F98">
        <v>6</v>
      </c>
      <c r="G98" s="5">
        <v>30014</v>
      </c>
      <c r="H98">
        <v>8</v>
      </c>
      <c r="I98" t="s">
        <v>69</v>
      </c>
      <c r="J98" s="5">
        <v>4067</v>
      </c>
      <c r="K98">
        <v>8</v>
      </c>
      <c r="L98">
        <f>'KRWSIP_Program_Baseline Data'!H99</f>
        <v>13.3</v>
      </c>
      <c r="M98">
        <v>1</v>
      </c>
      <c r="P98" s="6"/>
      <c r="V98" s="5">
        <f>IF($M98=1,G98,"")</f>
        <v>30014</v>
      </c>
      <c r="W98" s="5">
        <f>IF($M298=0, G298,"")</f>
        <v>35600</v>
      </c>
      <c r="X98" s="5">
        <f>IF($M98=1,J98,"")</f>
        <v>4067</v>
      </c>
      <c r="Y98" s="5">
        <f>IF($M298=0,J298,"")</f>
        <v>4363</v>
      </c>
      <c r="Z98" s="5">
        <f>IF($M98=1,K98,"")</f>
        <v>8</v>
      </c>
      <c r="AA98">
        <f>IF($M298=0,K298,"")</f>
        <v>15</v>
      </c>
      <c r="AB98">
        <f>IF($M98=1,L98,"")</f>
        <v>13.3</v>
      </c>
      <c r="AC98">
        <f>IF($M298=0,L298,"")</f>
        <v>11.8</v>
      </c>
    </row>
    <row r="99" spans="2:29" x14ac:dyDescent="0.3">
      <c r="B99">
        <v>254</v>
      </c>
      <c r="C99" t="s">
        <v>62</v>
      </c>
      <c r="D99">
        <v>8</v>
      </c>
      <c r="E99">
        <v>1</v>
      </c>
      <c r="F99">
        <v>8</v>
      </c>
      <c r="G99" s="5">
        <v>33626</v>
      </c>
      <c r="H99">
        <v>41</v>
      </c>
      <c r="I99" t="s">
        <v>68</v>
      </c>
      <c r="J99" s="5">
        <v>4929</v>
      </c>
      <c r="K99">
        <v>41</v>
      </c>
      <c r="L99">
        <f>'KRWSIP_Program_Baseline Data'!H100</f>
        <v>0.7</v>
      </c>
      <c r="M99">
        <v>1</v>
      </c>
      <c r="P99" s="6"/>
      <c r="V99" s="5">
        <f>IF($M99=1,G99,"")</f>
        <v>33626</v>
      </c>
      <c r="W99" s="5">
        <f>IF($M299=0, G299,"")</f>
        <v>34739</v>
      </c>
      <c r="X99" s="5">
        <f>IF($M99=1,J99,"")</f>
        <v>4929</v>
      </c>
      <c r="Y99" s="5">
        <f>IF($M299=0,J299,"")</f>
        <v>4632</v>
      </c>
      <c r="Z99" s="5">
        <f>IF($M99=1,K99,"")</f>
        <v>41</v>
      </c>
      <c r="AA99">
        <f>IF($M299=0,K299,"")</f>
        <v>45</v>
      </c>
      <c r="AB99">
        <f>IF($M99=1,L99,"")</f>
        <v>0.7</v>
      </c>
      <c r="AC99">
        <f>IF($M299=0,L299,"")</f>
        <v>6.5</v>
      </c>
    </row>
    <row r="100" spans="2:29" x14ac:dyDescent="0.3">
      <c r="B100">
        <v>136</v>
      </c>
      <c r="C100" t="s">
        <v>65</v>
      </c>
      <c r="D100">
        <v>2</v>
      </c>
      <c r="E100">
        <v>1</v>
      </c>
      <c r="F100">
        <v>2</v>
      </c>
      <c r="G100" s="5">
        <v>37565</v>
      </c>
      <c r="H100">
        <v>52</v>
      </c>
      <c r="I100" t="s">
        <v>67</v>
      </c>
      <c r="J100" s="5">
        <v>3304</v>
      </c>
      <c r="K100">
        <v>52</v>
      </c>
      <c r="L100">
        <f>'KRWSIP_Program_Baseline Data'!H101</f>
        <v>10.1</v>
      </c>
      <c r="M100">
        <v>1</v>
      </c>
      <c r="P100" s="6"/>
      <c r="V100" s="5">
        <f>IF($M100=1,G100,"")</f>
        <v>37565</v>
      </c>
      <c r="W100" s="5">
        <f>IF($M300=0, G300,"")</f>
        <v>23424</v>
      </c>
      <c r="X100" s="5">
        <f>IF($M100=1,J100,"")</f>
        <v>3304</v>
      </c>
      <c r="Y100" s="5">
        <f>IF($M300=0,J300,"")</f>
        <v>5350</v>
      </c>
      <c r="Z100" s="5">
        <f>IF($M100=1,K100,"")</f>
        <v>52</v>
      </c>
      <c r="AA100">
        <f>IF($M300=0,K300,"")</f>
        <v>41</v>
      </c>
      <c r="AB100">
        <f>IF($M100=1,L100,"")</f>
        <v>10.1</v>
      </c>
      <c r="AC100">
        <f>IF($M300=0,L300,"")</f>
        <v>2.1</v>
      </c>
    </row>
    <row r="101" spans="2:29" x14ac:dyDescent="0.3">
      <c r="B101">
        <v>395</v>
      </c>
      <c r="C101" t="s">
        <v>62</v>
      </c>
      <c r="D101">
        <v>3</v>
      </c>
      <c r="E101">
        <v>1</v>
      </c>
      <c r="F101">
        <v>3</v>
      </c>
      <c r="G101" s="5">
        <v>33378</v>
      </c>
      <c r="H101">
        <v>10</v>
      </c>
      <c r="I101" t="s">
        <v>66</v>
      </c>
      <c r="J101" s="5">
        <v>2429</v>
      </c>
      <c r="K101">
        <v>10</v>
      </c>
      <c r="L101">
        <f>'KRWSIP_Program_Baseline Data'!H102</f>
        <v>8.6999999999999993</v>
      </c>
      <c r="M101">
        <v>1</v>
      </c>
      <c r="P101" s="6"/>
      <c r="V101" s="5">
        <f>IF($M101=1,G101,"")</f>
        <v>33378</v>
      </c>
      <c r="W101" s="5">
        <f>IF($M301=0, G301,"")</f>
        <v>27598</v>
      </c>
      <c r="X101" s="5">
        <f>IF($M101=1,J101,"")</f>
        <v>2429</v>
      </c>
      <c r="Y101" s="5">
        <f>IF($M301=0,J301,"")</f>
        <v>2948</v>
      </c>
      <c r="Z101" s="5">
        <f>IF($M101=1,K101,"")</f>
        <v>10</v>
      </c>
      <c r="AA101">
        <f>IF($M301=0,K301,"")</f>
        <v>80</v>
      </c>
      <c r="AB101">
        <f>IF($M101=1,L101,"")</f>
        <v>8.6999999999999993</v>
      </c>
      <c r="AC101">
        <f>IF($M301=0,L301,"")</f>
        <v>8.3000000000000007</v>
      </c>
    </row>
    <row r="102" spans="2:29" x14ac:dyDescent="0.3">
      <c r="B102">
        <v>375</v>
      </c>
      <c r="C102" t="s">
        <v>62</v>
      </c>
      <c r="D102">
        <v>6</v>
      </c>
      <c r="E102">
        <v>1</v>
      </c>
      <c r="F102">
        <v>6</v>
      </c>
      <c r="G102" s="5">
        <v>20351</v>
      </c>
      <c r="H102">
        <v>24</v>
      </c>
      <c r="I102" t="s">
        <v>69</v>
      </c>
      <c r="J102" s="5">
        <v>3231</v>
      </c>
      <c r="K102">
        <v>24</v>
      </c>
      <c r="L102">
        <f>'KRWSIP_Program_Baseline Data'!H103</f>
        <v>9.4</v>
      </c>
      <c r="M102">
        <v>1</v>
      </c>
      <c r="P102" s="6"/>
      <c r="V102" s="5">
        <f>IF($M102=1,G102,"")</f>
        <v>20351</v>
      </c>
      <c r="W102" s="5">
        <f>IF($M302=0, G302,"")</f>
        <v>28572</v>
      </c>
      <c r="X102" s="5">
        <f>IF($M102=1,J102,"")</f>
        <v>3231</v>
      </c>
      <c r="Y102" s="5">
        <f>IF($M302=0,J302,"")</f>
        <v>4538</v>
      </c>
      <c r="Z102" s="5">
        <f>IF($M102=1,K102,"")</f>
        <v>24</v>
      </c>
      <c r="AA102">
        <f>IF($M302=0,K302,"")</f>
        <v>53</v>
      </c>
      <c r="AB102">
        <f>IF($M102=1,L102,"")</f>
        <v>9.4</v>
      </c>
      <c r="AC102">
        <f>IF($M302=0,L302,"")</f>
        <v>8.1999999999999993</v>
      </c>
    </row>
    <row r="103" spans="2:29" x14ac:dyDescent="0.3">
      <c r="B103">
        <v>316</v>
      </c>
      <c r="C103" t="s">
        <v>63</v>
      </c>
      <c r="D103">
        <v>5</v>
      </c>
      <c r="E103">
        <v>1</v>
      </c>
      <c r="F103">
        <v>5</v>
      </c>
      <c r="G103" s="5">
        <v>12219</v>
      </c>
      <c r="H103">
        <v>25</v>
      </c>
      <c r="I103" t="s">
        <v>68</v>
      </c>
      <c r="J103" s="5">
        <v>3218</v>
      </c>
      <c r="K103">
        <v>25</v>
      </c>
      <c r="L103">
        <f>'KRWSIP_Program_Baseline Data'!H104</f>
        <v>7.6</v>
      </c>
      <c r="M103">
        <v>1</v>
      </c>
      <c r="P103" s="6"/>
      <c r="V103" s="5">
        <f>IF($M103=1,G103,"")</f>
        <v>12219</v>
      </c>
      <c r="W103" s="5">
        <f>IF($M303=0, G303,"")</f>
        <v>30066</v>
      </c>
      <c r="X103" s="5">
        <f>IF($M103=1,J103,"")</f>
        <v>3218</v>
      </c>
      <c r="Y103" s="5">
        <f>IF($M303=0,J303,"")</f>
        <v>3954</v>
      </c>
      <c r="Z103" s="5">
        <f>IF($M103=1,K103,"")</f>
        <v>25</v>
      </c>
      <c r="AA103">
        <f>IF($M303=0,K303,"")</f>
        <v>49</v>
      </c>
      <c r="AB103">
        <f>IF($M103=1,L103,"")</f>
        <v>7.6</v>
      </c>
      <c r="AC103">
        <f>IF($M303=0,L303,"")</f>
        <v>1.4</v>
      </c>
    </row>
    <row r="104" spans="2:29" x14ac:dyDescent="0.3">
      <c r="B104">
        <v>224</v>
      </c>
      <c r="C104" t="s">
        <v>63</v>
      </c>
      <c r="D104">
        <v>5</v>
      </c>
      <c r="E104">
        <v>1</v>
      </c>
      <c r="F104">
        <v>5</v>
      </c>
      <c r="G104" s="5">
        <v>21912</v>
      </c>
      <c r="H104">
        <v>43</v>
      </c>
      <c r="I104" t="s">
        <v>67</v>
      </c>
      <c r="J104" s="5">
        <v>2593</v>
      </c>
      <c r="K104">
        <v>43</v>
      </c>
      <c r="L104">
        <f>'KRWSIP_Program_Baseline Data'!H105</f>
        <v>4.9000000000000004</v>
      </c>
      <c r="M104">
        <v>1</v>
      </c>
      <c r="P104" s="6"/>
      <c r="V104" s="5">
        <f>IF($M104=1,G104,"")</f>
        <v>21912</v>
      </c>
      <c r="W104" s="5">
        <f>IF($M304=0, G304,"")</f>
        <v>23259</v>
      </c>
      <c r="X104" s="5">
        <f>IF($M104=1,J104,"")</f>
        <v>2593</v>
      </c>
      <c r="Y104" s="5">
        <f>IF($M304=0,J304,"")</f>
        <v>5435</v>
      </c>
      <c r="Z104" s="5">
        <f>IF($M104=1,K104,"")</f>
        <v>43</v>
      </c>
      <c r="AA104">
        <f>IF($M304=0,K304,"")</f>
        <v>69</v>
      </c>
      <c r="AB104">
        <f>IF($M104=1,L104,"")</f>
        <v>4.9000000000000004</v>
      </c>
      <c r="AC104">
        <f>IF($M304=0,L304,"")</f>
        <v>5.5</v>
      </c>
    </row>
    <row r="105" spans="2:29" x14ac:dyDescent="0.3">
      <c r="B105">
        <v>44</v>
      </c>
      <c r="C105" t="s">
        <v>65</v>
      </c>
      <c r="D105">
        <v>8</v>
      </c>
      <c r="E105">
        <v>1</v>
      </c>
      <c r="F105">
        <v>8</v>
      </c>
      <c r="G105" s="5">
        <v>32929</v>
      </c>
      <c r="H105">
        <v>33</v>
      </c>
      <c r="I105" t="s">
        <v>67</v>
      </c>
      <c r="J105" s="5">
        <v>3337</v>
      </c>
      <c r="K105">
        <v>33</v>
      </c>
      <c r="L105">
        <f>'KRWSIP_Program_Baseline Data'!H106</f>
        <v>8.3000000000000007</v>
      </c>
      <c r="M105">
        <v>1</v>
      </c>
      <c r="P105" s="6"/>
      <c r="V105" s="5">
        <f>IF($M105=1,G105,"")</f>
        <v>32929</v>
      </c>
      <c r="W105" s="5">
        <f>IF($M305=0, G305,"")</f>
        <v>45974</v>
      </c>
      <c r="X105" s="5">
        <f>IF($M105=1,J105,"")</f>
        <v>3337</v>
      </c>
      <c r="Y105" s="5">
        <f>IF($M305=0,J305,"")</f>
        <v>4600</v>
      </c>
      <c r="Z105" s="5">
        <f>IF($M105=1,K105,"")</f>
        <v>33</v>
      </c>
      <c r="AA105">
        <f>IF($M305=0,K305,"")</f>
        <v>96</v>
      </c>
      <c r="AB105">
        <f>IF($M105=1,L105,"")</f>
        <v>8.3000000000000007</v>
      </c>
      <c r="AC105">
        <f>IF($M305=0,L305,"")</f>
        <v>2.2000000000000002</v>
      </c>
    </row>
    <row r="106" spans="2:29" x14ac:dyDescent="0.3">
      <c r="B106">
        <v>390</v>
      </c>
      <c r="C106" t="s">
        <v>63</v>
      </c>
      <c r="D106">
        <v>6</v>
      </c>
      <c r="E106">
        <v>1</v>
      </c>
      <c r="F106">
        <v>6</v>
      </c>
      <c r="G106" s="5">
        <v>34127</v>
      </c>
      <c r="H106">
        <v>19</v>
      </c>
      <c r="I106" t="s">
        <v>67</v>
      </c>
      <c r="J106" s="5">
        <v>3130</v>
      </c>
      <c r="K106">
        <v>19</v>
      </c>
      <c r="L106">
        <f>'KRWSIP_Program_Baseline Data'!H107</f>
        <v>4.7</v>
      </c>
      <c r="M106">
        <v>1</v>
      </c>
      <c r="P106" s="6"/>
      <c r="V106" s="5">
        <f>IF($M106=1,G106,"")</f>
        <v>34127</v>
      </c>
      <c r="W106" s="5">
        <f>IF($M306=0, G306,"")</f>
        <v>37000</v>
      </c>
      <c r="X106" s="5">
        <f>IF($M106=1,J106,"")</f>
        <v>3130</v>
      </c>
      <c r="Y106" s="5">
        <f>IF($M306=0,J306,"")</f>
        <v>3837</v>
      </c>
      <c r="Z106" s="5">
        <f>IF($M106=1,K106,"")</f>
        <v>19</v>
      </c>
      <c r="AA106">
        <f>IF($M306=0,K306,"")</f>
        <v>23</v>
      </c>
      <c r="AB106">
        <f>IF($M106=1,L106,"")</f>
        <v>4.7</v>
      </c>
      <c r="AC106">
        <f>IF($M306=0,L306,"")</f>
        <v>15</v>
      </c>
    </row>
    <row r="107" spans="2:29" x14ac:dyDescent="0.3">
      <c r="B107">
        <v>78</v>
      </c>
      <c r="C107" t="s">
        <v>63</v>
      </c>
      <c r="D107">
        <v>5</v>
      </c>
      <c r="E107">
        <v>1</v>
      </c>
      <c r="F107">
        <v>5</v>
      </c>
      <c r="G107" s="5">
        <v>31631</v>
      </c>
      <c r="H107">
        <v>43</v>
      </c>
      <c r="I107" t="s">
        <v>68</v>
      </c>
      <c r="J107" s="5">
        <v>3432</v>
      </c>
      <c r="K107">
        <v>43</v>
      </c>
      <c r="L107">
        <f>'KRWSIP_Program_Baseline Data'!H108</f>
        <v>7.5</v>
      </c>
      <c r="M107">
        <v>1</v>
      </c>
      <c r="P107" s="6"/>
      <c r="V107" s="5">
        <f>IF($M107=1,G107,"")</f>
        <v>31631</v>
      </c>
      <c r="W107" s="5">
        <f>IF($M307=0, G307,"")</f>
        <v>31558</v>
      </c>
      <c r="X107" s="5">
        <f>IF($M107=1,J107,"")</f>
        <v>3432</v>
      </c>
      <c r="Y107" s="5">
        <f>IF($M307=0,J307,"")</f>
        <v>6487</v>
      </c>
      <c r="Z107" s="5">
        <f>IF($M107=1,K107,"")</f>
        <v>43</v>
      </c>
      <c r="AA107">
        <f>IF($M307=0,K307,"")</f>
        <v>46</v>
      </c>
      <c r="AB107">
        <f>IF($M107=1,L107,"")</f>
        <v>7.5</v>
      </c>
      <c r="AC107">
        <f>IF($M307=0,L307,"")</f>
        <v>10.9</v>
      </c>
    </row>
    <row r="108" spans="2:29" x14ac:dyDescent="0.3">
      <c r="B108">
        <v>125</v>
      </c>
      <c r="C108" t="s">
        <v>63</v>
      </c>
      <c r="D108">
        <v>7</v>
      </c>
      <c r="E108">
        <v>1</v>
      </c>
      <c r="F108">
        <v>7</v>
      </c>
      <c r="G108" s="5">
        <v>24820</v>
      </c>
      <c r="H108">
        <v>38</v>
      </c>
      <c r="I108" t="s">
        <v>67</v>
      </c>
      <c r="J108" s="5">
        <v>4170</v>
      </c>
      <c r="K108">
        <v>38</v>
      </c>
      <c r="L108">
        <f>'KRWSIP_Program_Baseline Data'!H109</f>
        <v>9.5</v>
      </c>
      <c r="M108">
        <v>1</v>
      </c>
      <c r="P108" s="6"/>
      <c r="V108" s="5">
        <f>IF($M108=1,G108,"")</f>
        <v>24820</v>
      </c>
      <c r="W108" s="5">
        <f>IF($M308=0, G308,"")</f>
        <v>38958</v>
      </c>
      <c r="X108" s="5">
        <f>IF($M108=1,J108,"")</f>
        <v>4170</v>
      </c>
      <c r="Y108" s="5">
        <f>IF($M308=0,J308,"")</f>
        <v>5124</v>
      </c>
      <c r="Z108" s="5">
        <f>IF($M108=1,K108,"")</f>
        <v>38</v>
      </c>
      <c r="AA108">
        <f>IF($M308=0,K308,"")</f>
        <v>60</v>
      </c>
      <c r="AB108">
        <f>IF($M108=1,L108,"")</f>
        <v>9.5</v>
      </c>
      <c r="AC108">
        <f>IF($M308=0,L308,"")</f>
        <v>14.6</v>
      </c>
    </row>
    <row r="109" spans="2:29" x14ac:dyDescent="0.3">
      <c r="B109">
        <v>346</v>
      </c>
      <c r="C109" t="s">
        <v>64</v>
      </c>
      <c r="D109">
        <v>3</v>
      </c>
      <c r="E109">
        <v>1</v>
      </c>
      <c r="F109">
        <v>3</v>
      </c>
      <c r="G109" s="5">
        <v>35805</v>
      </c>
      <c r="H109">
        <v>51</v>
      </c>
      <c r="I109" t="s">
        <v>69</v>
      </c>
      <c r="J109" s="5">
        <v>3233</v>
      </c>
      <c r="K109">
        <v>51</v>
      </c>
      <c r="L109">
        <f>'KRWSIP_Program_Baseline Data'!H110</f>
        <v>5.3</v>
      </c>
      <c r="M109">
        <v>1</v>
      </c>
      <c r="P109" s="6"/>
      <c r="V109" s="5">
        <f>IF($M109=1,G109,"")</f>
        <v>35805</v>
      </c>
      <c r="W109" s="5">
        <f>IF($M309=0, G309,"")</f>
        <v>18641</v>
      </c>
      <c r="X109" s="5">
        <f>IF($M109=1,J109,"")</f>
        <v>3233</v>
      </c>
      <c r="Y109" s="5">
        <f>IF($M309=0,J309,"")</f>
        <v>4432</v>
      </c>
      <c r="Z109" s="5">
        <f>IF($M109=1,K109,"")</f>
        <v>51</v>
      </c>
      <c r="AA109">
        <f>IF($M309=0,K309,"")</f>
        <v>59</v>
      </c>
      <c r="AB109">
        <f>IF($M109=1,L109,"")</f>
        <v>5.3</v>
      </c>
      <c r="AC109">
        <f>IF($M309=0,L309,"")</f>
        <v>7.1</v>
      </c>
    </row>
    <row r="110" spans="2:29" x14ac:dyDescent="0.3">
      <c r="B110">
        <v>135</v>
      </c>
      <c r="C110" t="s">
        <v>63</v>
      </c>
      <c r="D110">
        <v>2</v>
      </c>
      <c r="E110">
        <v>1</v>
      </c>
      <c r="F110">
        <v>2</v>
      </c>
      <c r="G110" s="5">
        <v>43511</v>
      </c>
      <c r="H110">
        <v>30</v>
      </c>
      <c r="I110" t="s">
        <v>67</v>
      </c>
      <c r="J110" s="5">
        <v>2909</v>
      </c>
      <c r="K110">
        <v>30</v>
      </c>
      <c r="L110">
        <f>'KRWSIP_Program_Baseline Data'!H111</f>
        <v>2.6</v>
      </c>
      <c r="M110">
        <v>1</v>
      </c>
      <c r="P110" s="6"/>
      <c r="V110" s="5">
        <f>IF($M110=1,G110,"")</f>
        <v>43511</v>
      </c>
      <c r="W110" s="5">
        <f>IF($M310=0, G310,"")</f>
        <v>28026</v>
      </c>
      <c r="X110" s="5">
        <f>IF($M110=1,J110,"")</f>
        <v>2909</v>
      </c>
      <c r="Y110" s="5">
        <f>IF($M310=0,J310,"")</f>
        <v>4219</v>
      </c>
      <c r="Z110" s="5">
        <f>IF($M110=1,K110,"")</f>
        <v>30</v>
      </c>
      <c r="AA110">
        <f>IF($M310=0,K310,"")</f>
        <v>82</v>
      </c>
      <c r="AB110">
        <f>IF($M110=1,L110,"")</f>
        <v>2.6</v>
      </c>
      <c r="AC110">
        <f>IF($M310=0,L310,"")</f>
        <v>2</v>
      </c>
    </row>
    <row r="111" spans="2:29" x14ac:dyDescent="0.3">
      <c r="B111">
        <v>23</v>
      </c>
      <c r="C111" t="s">
        <v>65</v>
      </c>
      <c r="D111">
        <v>2</v>
      </c>
      <c r="E111">
        <v>1</v>
      </c>
      <c r="F111">
        <v>2</v>
      </c>
      <c r="G111" s="5">
        <v>36581</v>
      </c>
      <c r="H111">
        <v>16</v>
      </c>
      <c r="I111" t="s">
        <v>69</v>
      </c>
      <c r="J111" s="5">
        <v>2595</v>
      </c>
      <c r="K111">
        <v>16</v>
      </c>
      <c r="L111">
        <f>'KRWSIP_Program_Baseline Data'!H112</f>
        <v>5.5</v>
      </c>
      <c r="M111">
        <v>1</v>
      </c>
      <c r="P111" s="6"/>
      <c r="V111" s="5">
        <f>IF($M111=1,G111,"")</f>
        <v>36581</v>
      </c>
      <c r="W111" s="5">
        <f>IF($M311=0, G311,"")</f>
        <v>32886</v>
      </c>
      <c r="X111" s="5">
        <f>IF($M111=1,J111,"")</f>
        <v>2595</v>
      </c>
      <c r="Y111" s="5">
        <f>IF($M311=0,J311,"")</f>
        <v>4647</v>
      </c>
      <c r="Z111" s="5">
        <f>IF($M111=1,K111,"")</f>
        <v>16</v>
      </c>
      <c r="AA111">
        <f>IF($M311=0,K311,"")</f>
        <v>66</v>
      </c>
      <c r="AB111">
        <f>IF($M111=1,L111,"")</f>
        <v>5.5</v>
      </c>
      <c r="AC111">
        <f>IF($M311=0,L311,"")</f>
        <v>10.8</v>
      </c>
    </row>
    <row r="112" spans="2:29" x14ac:dyDescent="0.3">
      <c r="B112">
        <v>56</v>
      </c>
      <c r="C112" t="s">
        <v>62</v>
      </c>
      <c r="D112">
        <v>7</v>
      </c>
      <c r="E112">
        <v>1</v>
      </c>
      <c r="F112">
        <v>7</v>
      </c>
      <c r="G112" s="5">
        <v>23623</v>
      </c>
      <c r="H112">
        <v>12</v>
      </c>
      <c r="I112" t="s">
        <v>68</v>
      </c>
      <c r="J112" s="5">
        <v>4177</v>
      </c>
      <c r="K112">
        <v>12</v>
      </c>
      <c r="L112">
        <f>'KRWSIP_Program_Baseline Data'!H113</f>
        <v>9.3000000000000007</v>
      </c>
      <c r="M112">
        <v>1</v>
      </c>
      <c r="P112" s="6"/>
      <c r="V112" s="5">
        <f>IF($M112=1,G112,"")</f>
        <v>23623</v>
      </c>
      <c r="W112" s="5">
        <f>IF($M312=0, G312,"")</f>
        <v>37377</v>
      </c>
      <c r="X112" s="5">
        <f>IF($M112=1,J112,"")</f>
        <v>4177</v>
      </c>
      <c r="Y112" s="5">
        <f>IF($M312=0,J312,"")</f>
        <v>5393</v>
      </c>
      <c r="Z112" s="5">
        <f>IF($M112=1,K112,"")</f>
        <v>12</v>
      </c>
      <c r="AA112">
        <f>IF($M312=0,K312,"")</f>
        <v>17</v>
      </c>
      <c r="AB112">
        <f>IF($M112=1,L112,"")</f>
        <v>9.3000000000000007</v>
      </c>
      <c r="AC112">
        <f>IF($M312=0,L312,"")</f>
        <v>6</v>
      </c>
    </row>
    <row r="113" spans="2:29" x14ac:dyDescent="0.3">
      <c r="B113">
        <v>93</v>
      </c>
      <c r="C113" t="s">
        <v>65</v>
      </c>
      <c r="D113">
        <v>3</v>
      </c>
      <c r="E113">
        <v>1</v>
      </c>
      <c r="F113">
        <v>3</v>
      </c>
      <c r="G113" s="5">
        <v>31569</v>
      </c>
      <c r="H113">
        <v>41</v>
      </c>
      <c r="I113" t="s">
        <v>68</v>
      </c>
      <c r="J113" s="5">
        <v>3533</v>
      </c>
      <c r="K113">
        <v>41</v>
      </c>
      <c r="L113">
        <f>'KRWSIP_Program_Baseline Data'!H114</f>
        <v>1.7</v>
      </c>
      <c r="M113">
        <v>1</v>
      </c>
      <c r="P113" s="6"/>
      <c r="V113" s="5">
        <f>IF($M113=1,G113,"")</f>
        <v>31569</v>
      </c>
      <c r="W113" s="5">
        <f>IF($M313=0, G313,"")</f>
        <v>26637</v>
      </c>
      <c r="X113" s="5">
        <f>IF($M113=1,J113,"")</f>
        <v>3533</v>
      </c>
      <c r="Y113" s="5">
        <f>IF($M313=0,J313,"")</f>
        <v>4770</v>
      </c>
      <c r="Z113" s="5">
        <f>IF($M113=1,K113,"")</f>
        <v>41</v>
      </c>
      <c r="AA113">
        <f>IF($M313=0,K313,"")</f>
        <v>88</v>
      </c>
      <c r="AB113">
        <f>IF($M113=1,L113,"")</f>
        <v>1.7</v>
      </c>
      <c r="AC113">
        <f>IF($M313=0,L313,"")</f>
        <v>12.3</v>
      </c>
    </row>
    <row r="114" spans="2:29" x14ac:dyDescent="0.3">
      <c r="B114">
        <v>165</v>
      </c>
      <c r="C114" t="s">
        <v>64</v>
      </c>
      <c r="D114">
        <v>8</v>
      </c>
      <c r="E114">
        <v>1</v>
      </c>
      <c r="F114">
        <v>8</v>
      </c>
      <c r="G114" s="5">
        <v>16579</v>
      </c>
      <c r="H114">
        <v>58</v>
      </c>
      <c r="I114" t="s">
        <v>68</v>
      </c>
      <c r="J114" s="5">
        <v>3860</v>
      </c>
      <c r="K114">
        <v>58</v>
      </c>
      <c r="L114">
        <f>'KRWSIP_Program_Baseline Data'!H115</f>
        <v>4.4000000000000004</v>
      </c>
      <c r="M114">
        <v>1</v>
      </c>
      <c r="P114" s="6"/>
      <c r="V114" s="5">
        <f>IF($M114=1,G114,"")</f>
        <v>16579</v>
      </c>
      <c r="W114" s="5">
        <f>IF($M314=0, G314,"")</f>
        <v>45875</v>
      </c>
      <c r="X114" s="5">
        <f>IF($M114=1,J114,"")</f>
        <v>3860</v>
      </c>
      <c r="Y114" s="5">
        <f>IF($M314=0,J314,"")</f>
        <v>5937</v>
      </c>
      <c r="Z114" s="5">
        <f>IF($M114=1,K114,"")</f>
        <v>58</v>
      </c>
      <c r="AA114">
        <f>IF($M314=0,K314,"")</f>
        <v>60</v>
      </c>
      <c r="AB114">
        <f>IF($M114=1,L114,"")</f>
        <v>4.4000000000000004</v>
      </c>
      <c r="AC114">
        <f>IF($M314=0,L314,"")</f>
        <v>5.8</v>
      </c>
    </row>
    <row r="115" spans="2:29" x14ac:dyDescent="0.3">
      <c r="B115">
        <v>206</v>
      </c>
      <c r="C115" t="s">
        <v>63</v>
      </c>
      <c r="D115">
        <v>5</v>
      </c>
      <c r="E115">
        <v>1</v>
      </c>
      <c r="F115">
        <v>5</v>
      </c>
      <c r="G115" s="5">
        <v>21786</v>
      </c>
      <c r="H115">
        <v>24</v>
      </c>
      <c r="I115" t="s">
        <v>67</v>
      </c>
      <c r="J115" s="5">
        <v>3982</v>
      </c>
      <c r="K115">
        <v>24</v>
      </c>
      <c r="L115">
        <f>'KRWSIP_Program_Baseline Data'!H116</f>
        <v>13.8</v>
      </c>
      <c r="M115">
        <v>1</v>
      </c>
      <c r="P115" s="6"/>
      <c r="V115" s="5">
        <f>IF($M115=1,G115,"")</f>
        <v>21786</v>
      </c>
      <c r="W115" s="5">
        <f>IF($M315=0, G315,"")</f>
        <v>30702</v>
      </c>
      <c r="X115" s="5">
        <f>IF($M115=1,J115,"")</f>
        <v>3982</v>
      </c>
      <c r="Y115" s="5">
        <f>IF($M315=0,J315,"")</f>
        <v>5930</v>
      </c>
      <c r="Z115" s="5">
        <f>IF($M115=1,K115,"")</f>
        <v>24</v>
      </c>
      <c r="AA115">
        <f>IF($M315=0,K315,"")</f>
        <v>32</v>
      </c>
      <c r="AB115">
        <f>IF($M115=1,L115,"")</f>
        <v>13.8</v>
      </c>
      <c r="AC115">
        <f>IF($M315=0,L315,"")</f>
        <v>2.9</v>
      </c>
    </row>
    <row r="116" spans="2:29" x14ac:dyDescent="0.3">
      <c r="B116">
        <v>49</v>
      </c>
      <c r="C116" t="s">
        <v>64</v>
      </c>
      <c r="D116">
        <v>4</v>
      </c>
      <c r="E116">
        <v>1</v>
      </c>
      <c r="F116">
        <v>4</v>
      </c>
      <c r="G116" s="5">
        <v>39478</v>
      </c>
      <c r="H116">
        <v>46</v>
      </c>
      <c r="I116" t="s">
        <v>68</v>
      </c>
      <c r="J116" s="5">
        <v>2487</v>
      </c>
      <c r="K116">
        <v>46</v>
      </c>
      <c r="L116">
        <f>'KRWSIP_Program_Baseline Data'!H117</f>
        <v>9.3000000000000007</v>
      </c>
      <c r="M116">
        <v>1</v>
      </c>
      <c r="P116" s="6"/>
      <c r="V116" s="5">
        <f>IF($M116=1,G116,"")</f>
        <v>39478</v>
      </c>
      <c r="W116" s="5">
        <f>IF($M316=0, G316,"")</f>
        <v>39292</v>
      </c>
      <c r="X116" s="5">
        <f>IF($M116=1,J116,"")</f>
        <v>2487</v>
      </c>
      <c r="Y116" s="5">
        <f>IF($M316=0,J316,"")</f>
        <v>4787</v>
      </c>
      <c r="Z116" s="5">
        <f>IF($M116=1,K116,"")</f>
        <v>46</v>
      </c>
      <c r="AA116">
        <f>IF($M316=0,K316,"")</f>
        <v>114</v>
      </c>
      <c r="AB116">
        <f>IF($M116=1,L116,"")</f>
        <v>9.3000000000000007</v>
      </c>
      <c r="AC116">
        <f>IF($M316=0,L316,"")</f>
        <v>7.1</v>
      </c>
    </row>
    <row r="117" spans="2:29" x14ac:dyDescent="0.3">
      <c r="B117">
        <v>198</v>
      </c>
      <c r="C117" t="s">
        <v>63</v>
      </c>
      <c r="D117">
        <v>3</v>
      </c>
      <c r="E117">
        <v>1</v>
      </c>
      <c r="F117">
        <v>3</v>
      </c>
      <c r="G117" s="5">
        <v>39361</v>
      </c>
      <c r="H117">
        <v>6</v>
      </c>
      <c r="I117" t="s">
        <v>67</v>
      </c>
      <c r="J117" s="5">
        <v>3271</v>
      </c>
      <c r="K117">
        <v>6</v>
      </c>
      <c r="L117">
        <f>'KRWSIP_Program_Baseline Data'!H118</f>
        <v>8.6</v>
      </c>
      <c r="M117">
        <v>1</v>
      </c>
      <c r="P117" s="6"/>
      <c r="V117" s="5">
        <f>IF($M117=1,G117,"")</f>
        <v>39361</v>
      </c>
      <c r="W117" s="5">
        <f>IF($M317=0, G317,"")</f>
        <v>33071</v>
      </c>
      <c r="X117" s="5">
        <f>IF($M117=1,J117,"")</f>
        <v>3271</v>
      </c>
      <c r="Y117" s="5">
        <f>IF($M317=0,J317,"")</f>
        <v>5736</v>
      </c>
      <c r="Z117" s="5">
        <f>IF($M117=1,K117,"")</f>
        <v>6</v>
      </c>
      <c r="AA117">
        <f>IF($M317=0,K317,"")</f>
        <v>86</v>
      </c>
      <c r="AB117">
        <f>IF($M117=1,L117,"")</f>
        <v>8.6</v>
      </c>
      <c r="AC117">
        <f>IF($M317=0,L317,"")</f>
        <v>8.6</v>
      </c>
    </row>
    <row r="118" spans="2:29" x14ac:dyDescent="0.3">
      <c r="B118">
        <v>118</v>
      </c>
      <c r="C118" t="s">
        <v>65</v>
      </c>
      <c r="D118">
        <v>3</v>
      </c>
      <c r="E118">
        <v>1</v>
      </c>
      <c r="F118">
        <v>3</v>
      </c>
      <c r="G118" s="5">
        <v>33176</v>
      </c>
      <c r="H118">
        <v>16</v>
      </c>
      <c r="I118" t="s">
        <v>69</v>
      </c>
      <c r="J118" s="5">
        <v>3271</v>
      </c>
      <c r="K118">
        <v>16</v>
      </c>
      <c r="L118">
        <f>'KRWSIP_Program_Baseline Data'!H119</f>
        <v>0.5</v>
      </c>
      <c r="M118">
        <v>1</v>
      </c>
      <c r="P118" s="6"/>
      <c r="V118" s="5">
        <f>IF($M118=1,G118,"")</f>
        <v>33176</v>
      </c>
      <c r="W118" s="5">
        <f>IF($M318=0, G318,"")</f>
        <v>22866</v>
      </c>
      <c r="X118" s="5">
        <f>IF($M118=1,J118,"")</f>
        <v>3271</v>
      </c>
      <c r="Y118" s="5">
        <f>IF($M318=0,J318,"")</f>
        <v>4167</v>
      </c>
      <c r="Z118" s="5">
        <f>IF($M118=1,K118,"")</f>
        <v>16</v>
      </c>
      <c r="AA118">
        <f>IF($M318=0,K318,"")</f>
        <v>106</v>
      </c>
      <c r="AB118">
        <f>IF($M118=1,L118,"")</f>
        <v>0.5</v>
      </c>
      <c r="AC118">
        <f>IF($M318=0,L318,"")</f>
        <v>5.9</v>
      </c>
    </row>
    <row r="119" spans="2:29" x14ac:dyDescent="0.3">
      <c r="B119">
        <v>62</v>
      </c>
      <c r="C119" t="s">
        <v>64</v>
      </c>
      <c r="D119">
        <v>8</v>
      </c>
      <c r="E119">
        <v>1</v>
      </c>
      <c r="F119">
        <v>8</v>
      </c>
      <c r="G119" s="5">
        <v>40783</v>
      </c>
      <c r="H119">
        <v>24</v>
      </c>
      <c r="I119" t="s">
        <v>68</v>
      </c>
      <c r="J119" s="5">
        <v>4445</v>
      </c>
      <c r="K119">
        <v>24</v>
      </c>
      <c r="L119">
        <f>'KRWSIP_Program_Baseline Data'!H120</f>
        <v>2.4</v>
      </c>
      <c r="M119">
        <v>1</v>
      </c>
      <c r="P119" s="6"/>
      <c r="V119" s="5">
        <f>IF($M119=1,G119,"")</f>
        <v>40783</v>
      </c>
      <c r="W119" s="5">
        <f>IF($M319=0, G319,"")</f>
        <v>32929</v>
      </c>
      <c r="X119" s="5">
        <f>IF($M119=1,J119,"")</f>
        <v>4445</v>
      </c>
      <c r="Y119" s="5">
        <f>IF($M319=0,J319,"")</f>
        <v>3185</v>
      </c>
      <c r="Z119" s="5">
        <f>IF($M119=1,K119,"")</f>
        <v>24</v>
      </c>
      <c r="AA119">
        <f>IF($M319=0,K319,"")</f>
        <v>104</v>
      </c>
      <c r="AB119">
        <f>IF($M119=1,L119,"")</f>
        <v>2.4</v>
      </c>
      <c r="AC119">
        <f>IF($M319=0,L319,"")</f>
        <v>1.8</v>
      </c>
    </row>
    <row r="120" spans="2:29" x14ac:dyDescent="0.3">
      <c r="B120">
        <v>267</v>
      </c>
      <c r="C120" t="s">
        <v>65</v>
      </c>
      <c r="D120">
        <v>8</v>
      </c>
      <c r="E120">
        <v>1</v>
      </c>
      <c r="F120">
        <v>8</v>
      </c>
      <c r="G120" s="5">
        <v>30621</v>
      </c>
      <c r="H120">
        <v>24</v>
      </c>
      <c r="I120" t="s">
        <v>69</v>
      </c>
      <c r="J120" s="5">
        <v>4243</v>
      </c>
      <c r="K120">
        <v>24</v>
      </c>
      <c r="L120">
        <f>'KRWSIP_Program_Baseline Data'!H121</f>
        <v>8</v>
      </c>
      <c r="M120">
        <v>1</v>
      </c>
      <c r="P120" s="6"/>
      <c r="V120" s="5">
        <f>IF($M120=1,G120,"")</f>
        <v>30621</v>
      </c>
      <c r="W120" s="5">
        <f>IF($M320=0, G320,"")</f>
        <v>25641</v>
      </c>
      <c r="X120" s="5">
        <f>IF($M120=1,J120,"")</f>
        <v>4243</v>
      </c>
      <c r="Y120" s="5">
        <f>IF($M320=0,J320,"")</f>
        <v>4004</v>
      </c>
      <c r="Z120" s="5">
        <f>IF($M120=1,K120,"")</f>
        <v>24</v>
      </c>
      <c r="AA120">
        <f>IF($M320=0,K320,"")</f>
        <v>32</v>
      </c>
      <c r="AB120">
        <f>IF($M120=1,L120,"")</f>
        <v>8</v>
      </c>
      <c r="AC120">
        <f>IF($M320=0,L320,"")</f>
        <v>5.8</v>
      </c>
    </row>
    <row r="121" spans="2:29" x14ac:dyDescent="0.3">
      <c r="B121">
        <v>315</v>
      </c>
      <c r="C121" t="s">
        <v>64</v>
      </c>
      <c r="D121">
        <v>4</v>
      </c>
      <c r="E121">
        <v>1</v>
      </c>
      <c r="F121">
        <v>4</v>
      </c>
      <c r="G121" s="5">
        <v>29396</v>
      </c>
      <c r="H121">
        <v>34</v>
      </c>
      <c r="I121" t="s">
        <v>68</v>
      </c>
      <c r="J121" s="5">
        <v>3932</v>
      </c>
      <c r="K121">
        <v>34</v>
      </c>
      <c r="L121">
        <f>'KRWSIP_Program_Baseline Data'!H122</f>
        <v>7</v>
      </c>
      <c r="M121">
        <v>1</v>
      </c>
      <c r="P121" s="6"/>
      <c r="V121" s="5">
        <f>IF($M121=1,G121,"")</f>
        <v>29396</v>
      </c>
      <c r="W121" s="5">
        <f>IF($M321=0, G321,"")</f>
        <v>33356</v>
      </c>
      <c r="X121" s="5">
        <f>IF($M121=1,J121,"")</f>
        <v>3932</v>
      </c>
      <c r="Y121" s="5">
        <f>IF($M321=0,J321,"")</f>
        <v>5031</v>
      </c>
      <c r="Z121" s="5">
        <f>IF($M121=1,K121,"")</f>
        <v>34</v>
      </c>
      <c r="AA121">
        <f>IF($M321=0,K321,"")</f>
        <v>56</v>
      </c>
      <c r="AB121">
        <f>IF($M121=1,L121,"")</f>
        <v>7</v>
      </c>
      <c r="AC121">
        <f>IF($M321=0,L321,"")</f>
        <v>4.8</v>
      </c>
    </row>
    <row r="122" spans="2:29" x14ac:dyDescent="0.3">
      <c r="B122">
        <v>391</v>
      </c>
      <c r="C122" t="s">
        <v>65</v>
      </c>
      <c r="D122">
        <v>8</v>
      </c>
      <c r="E122">
        <v>1</v>
      </c>
      <c r="F122">
        <v>8</v>
      </c>
      <c r="G122" s="5">
        <v>45470</v>
      </c>
      <c r="H122">
        <v>30</v>
      </c>
      <c r="I122" t="s">
        <v>68</v>
      </c>
      <c r="J122" s="5">
        <v>3847</v>
      </c>
      <c r="K122">
        <v>30</v>
      </c>
      <c r="L122">
        <f>'KRWSIP_Program_Baseline Data'!H123</f>
        <v>6.7</v>
      </c>
      <c r="M122">
        <v>1</v>
      </c>
      <c r="P122" s="6"/>
      <c r="V122" s="5">
        <f>IF($M122=1,G122,"")</f>
        <v>45470</v>
      </c>
      <c r="W122" s="5">
        <f>IF($M322=0, G322,"")</f>
        <v>15163</v>
      </c>
      <c r="X122" s="5">
        <f>IF($M122=1,J122,"")</f>
        <v>3847</v>
      </c>
      <c r="Y122" s="5">
        <f>IF($M322=0,J322,"")</f>
        <v>3877</v>
      </c>
      <c r="Z122" s="5">
        <f>IF($M122=1,K122,"")</f>
        <v>30</v>
      </c>
      <c r="AA122">
        <f>IF($M322=0,K322,"")</f>
        <v>36</v>
      </c>
      <c r="AB122">
        <f>IF($M122=1,L122,"")</f>
        <v>6.7</v>
      </c>
      <c r="AC122">
        <f>IF($M322=0,L322,"")</f>
        <v>14.6</v>
      </c>
    </row>
    <row r="123" spans="2:29" x14ac:dyDescent="0.3">
      <c r="B123">
        <v>338</v>
      </c>
      <c r="C123" t="s">
        <v>65</v>
      </c>
      <c r="D123">
        <v>8</v>
      </c>
      <c r="E123">
        <v>1</v>
      </c>
      <c r="F123">
        <v>8</v>
      </c>
      <c r="G123" s="5">
        <v>18851</v>
      </c>
      <c r="H123">
        <v>45</v>
      </c>
      <c r="I123" t="s">
        <v>68</v>
      </c>
      <c r="J123" s="5">
        <v>3552</v>
      </c>
      <c r="K123">
        <v>45</v>
      </c>
      <c r="L123">
        <f>'KRWSIP_Program_Baseline Data'!H124</f>
        <v>3.3</v>
      </c>
      <c r="M123">
        <v>1</v>
      </c>
      <c r="P123" s="6"/>
      <c r="V123" s="5">
        <f>IF($M123=1,G123,"")</f>
        <v>18851</v>
      </c>
      <c r="W123" s="5">
        <f>IF($M323=0, G323,"")</f>
        <v>45334</v>
      </c>
      <c r="X123" s="5">
        <f>IF($M123=1,J123,"")</f>
        <v>3552</v>
      </c>
      <c r="Y123" s="5">
        <f>IF($M323=0,J323,"")</f>
        <v>4822</v>
      </c>
      <c r="Z123" s="5">
        <f>IF($M123=1,K123,"")</f>
        <v>45</v>
      </c>
      <c r="AA123">
        <f>IF($M323=0,K323,"")</f>
        <v>73</v>
      </c>
      <c r="AB123">
        <f>IF($M123=1,L123,"")</f>
        <v>3.3</v>
      </c>
      <c r="AC123">
        <f>IF($M323=0,L323,"")</f>
        <v>10.1</v>
      </c>
    </row>
    <row r="124" spans="2:29" x14ac:dyDescent="0.3">
      <c r="B124">
        <v>387</v>
      </c>
      <c r="C124" t="s">
        <v>62</v>
      </c>
      <c r="D124">
        <v>5</v>
      </c>
      <c r="E124">
        <v>1</v>
      </c>
      <c r="F124">
        <v>5</v>
      </c>
      <c r="G124" s="5">
        <v>46270</v>
      </c>
      <c r="H124">
        <v>39</v>
      </c>
      <c r="I124" t="s">
        <v>67</v>
      </c>
      <c r="J124" s="5">
        <v>2738</v>
      </c>
      <c r="K124">
        <v>39</v>
      </c>
      <c r="L124">
        <f>'KRWSIP_Program_Baseline Data'!H125</f>
        <v>2.2999999999999998</v>
      </c>
      <c r="M124">
        <v>1</v>
      </c>
      <c r="P124" s="6"/>
      <c r="V124" s="5">
        <f>IF($M124=1,G124,"")</f>
        <v>46270</v>
      </c>
      <c r="W124" s="5">
        <f>IF($M324=0, G324,"")</f>
        <v>31617</v>
      </c>
      <c r="X124" s="5">
        <f>IF($M124=1,J124,"")</f>
        <v>2738</v>
      </c>
      <c r="Y124" s="5">
        <f>IF($M324=0,J324,"")</f>
        <v>5501</v>
      </c>
      <c r="Z124" s="5">
        <f>IF($M124=1,K124,"")</f>
        <v>39</v>
      </c>
      <c r="AA124">
        <f>IF($M324=0,K324,"")</f>
        <v>15</v>
      </c>
      <c r="AB124">
        <f>IF($M124=1,L124,"")</f>
        <v>2.2999999999999998</v>
      </c>
      <c r="AC124">
        <f>IF($M324=0,L324,"")</f>
        <v>3.7</v>
      </c>
    </row>
    <row r="125" spans="2:29" x14ac:dyDescent="0.3">
      <c r="B125">
        <v>176</v>
      </c>
      <c r="C125" t="s">
        <v>64</v>
      </c>
      <c r="D125">
        <v>2</v>
      </c>
      <c r="E125">
        <v>1</v>
      </c>
      <c r="F125">
        <v>2</v>
      </c>
      <c r="G125" s="5">
        <v>27903</v>
      </c>
      <c r="H125">
        <v>10</v>
      </c>
      <c r="I125" t="s">
        <v>69</v>
      </c>
      <c r="J125" s="5">
        <v>2073</v>
      </c>
      <c r="K125">
        <v>10</v>
      </c>
      <c r="L125">
        <f>'KRWSIP_Program_Baseline Data'!H126</f>
        <v>6.2</v>
      </c>
      <c r="M125">
        <v>1</v>
      </c>
      <c r="P125" s="6"/>
      <c r="V125" s="5">
        <f>IF($M125=1,G125,"")</f>
        <v>27903</v>
      </c>
      <c r="W125" s="5">
        <f>IF($M325=0, G325,"")</f>
        <v>27347</v>
      </c>
      <c r="X125" s="5">
        <f>IF($M125=1,J125,"")</f>
        <v>2073</v>
      </c>
      <c r="Y125" s="5">
        <f>IF($M325=0,J325,"")</f>
        <v>3540</v>
      </c>
      <c r="Z125" s="5">
        <f>IF($M125=1,K125,"")</f>
        <v>10</v>
      </c>
      <c r="AA125">
        <f>IF($M325=0,K325,"")</f>
        <v>94</v>
      </c>
      <c r="AB125">
        <f>IF($M125=1,L125,"")</f>
        <v>6.2</v>
      </c>
      <c r="AC125">
        <f>IF($M325=0,L325,"")</f>
        <v>10.1</v>
      </c>
    </row>
    <row r="126" spans="2:29" x14ac:dyDescent="0.3">
      <c r="B126">
        <v>364</v>
      </c>
      <c r="C126" t="s">
        <v>65</v>
      </c>
      <c r="D126">
        <v>6</v>
      </c>
      <c r="E126">
        <v>1</v>
      </c>
      <c r="F126">
        <v>6</v>
      </c>
      <c r="G126" s="5">
        <v>26461</v>
      </c>
      <c r="H126">
        <v>31</v>
      </c>
      <c r="I126" t="s">
        <v>68</v>
      </c>
      <c r="J126" s="5">
        <v>2714</v>
      </c>
      <c r="K126">
        <v>31</v>
      </c>
      <c r="L126">
        <f>'KRWSIP_Program_Baseline Data'!H127</f>
        <v>12.5</v>
      </c>
      <c r="M126">
        <v>1</v>
      </c>
      <c r="P126" s="6"/>
      <c r="V126" s="5">
        <f>IF($M126=1,G126,"")</f>
        <v>26461</v>
      </c>
      <c r="W126" s="5">
        <f>IF($M326=0, G326,"")</f>
        <v>32302</v>
      </c>
      <c r="X126" s="5">
        <f>IF($M126=1,J126,"")</f>
        <v>2714</v>
      </c>
      <c r="Y126" s="5">
        <f>IF($M326=0,J326,"")</f>
        <v>4872</v>
      </c>
      <c r="Z126" s="5">
        <f>IF($M126=1,K126,"")</f>
        <v>31</v>
      </c>
      <c r="AA126">
        <f>IF($M326=0,K326,"")</f>
        <v>27</v>
      </c>
      <c r="AB126">
        <f>IF($M126=1,L126,"")</f>
        <v>12.5</v>
      </c>
      <c r="AC126">
        <f>IF($M326=0,L326,"")</f>
        <v>1.9</v>
      </c>
    </row>
    <row r="127" spans="2:29" x14ac:dyDescent="0.3">
      <c r="B127">
        <v>380</v>
      </c>
      <c r="C127" t="s">
        <v>63</v>
      </c>
      <c r="D127">
        <v>4</v>
      </c>
      <c r="E127">
        <v>1</v>
      </c>
      <c r="F127">
        <v>4</v>
      </c>
      <c r="G127" s="5">
        <v>22831</v>
      </c>
      <c r="H127">
        <v>12</v>
      </c>
      <c r="I127" t="s">
        <v>68</v>
      </c>
      <c r="J127" s="5">
        <v>2973</v>
      </c>
      <c r="K127">
        <v>12</v>
      </c>
      <c r="L127">
        <f>'KRWSIP_Program_Baseline Data'!H128</f>
        <v>12.2</v>
      </c>
      <c r="M127">
        <v>1</v>
      </c>
      <c r="P127" s="6"/>
      <c r="V127" s="5">
        <f>IF($M127=1,G127,"")</f>
        <v>22831</v>
      </c>
      <c r="W127" s="5">
        <f>IF($M327=0, G327,"")</f>
        <v>39919</v>
      </c>
      <c r="X127" s="5">
        <f>IF($M127=1,J127,"")</f>
        <v>2973</v>
      </c>
      <c r="Y127" s="5">
        <f>IF($M327=0,J327,"")</f>
        <v>6518</v>
      </c>
      <c r="Z127" s="5">
        <f>IF($M127=1,K127,"")</f>
        <v>12</v>
      </c>
      <c r="AA127">
        <f>IF($M327=0,K327,"")</f>
        <v>50</v>
      </c>
      <c r="AB127">
        <f>IF($M127=1,L127,"")</f>
        <v>12.2</v>
      </c>
      <c r="AC127">
        <f>IF($M327=0,L327,"")</f>
        <v>0.5</v>
      </c>
    </row>
    <row r="128" spans="2:29" x14ac:dyDescent="0.3">
      <c r="B128">
        <v>19</v>
      </c>
      <c r="C128" t="s">
        <v>64</v>
      </c>
      <c r="D128">
        <v>2</v>
      </c>
      <c r="E128">
        <v>1</v>
      </c>
      <c r="F128">
        <v>2</v>
      </c>
      <c r="G128" s="5">
        <v>40237</v>
      </c>
      <c r="H128">
        <v>32</v>
      </c>
      <c r="I128" t="s">
        <v>68</v>
      </c>
      <c r="J128" s="5">
        <v>3382</v>
      </c>
      <c r="K128">
        <v>32</v>
      </c>
      <c r="L128">
        <f>'KRWSIP_Program_Baseline Data'!H129</f>
        <v>7</v>
      </c>
      <c r="M128">
        <v>1</v>
      </c>
      <c r="P128" s="6"/>
      <c r="V128" s="5">
        <f>IF($M128=1,G128,"")</f>
        <v>40237</v>
      </c>
      <c r="W128" s="5">
        <f>IF($M328=0, G328,"")</f>
        <v>28503</v>
      </c>
      <c r="X128" s="5">
        <f>IF($M128=1,J128,"")</f>
        <v>3382</v>
      </c>
      <c r="Y128" s="5">
        <f>IF($M328=0,J328,"")</f>
        <v>3587</v>
      </c>
      <c r="Z128" s="5">
        <f>IF($M128=1,K128,"")</f>
        <v>32</v>
      </c>
      <c r="AA128">
        <f>IF($M328=0,K328,"")</f>
        <v>45</v>
      </c>
      <c r="AB128">
        <f>IF($M128=1,L128,"")</f>
        <v>7</v>
      </c>
      <c r="AC128">
        <f>IF($M328=0,L328,"")</f>
        <v>9.5</v>
      </c>
    </row>
    <row r="129" spans="2:29" x14ac:dyDescent="0.3">
      <c r="B129">
        <v>327</v>
      </c>
      <c r="C129" t="s">
        <v>64</v>
      </c>
      <c r="D129">
        <v>5</v>
      </c>
      <c r="E129">
        <v>1</v>
      </c>
      <c r="F129">
        <v>5</v>
      </c>
      <c r="G129" s="5">
        <v>23497</v>
      </c>
      <c r="H129">
        <v>7</v>
      </c>
      <c r="I129" t="s">
        <v>67</v>
      </c>
      <c r="J129" s="5">
        <v>3935</v>
      </c>
      <c r="K129">
        <v>7</v>
      </c>
      <c r="L129">
        <f>'KRWSIP_Program_Baseline Data'!H130</f>
        <v>14.3</v>
      </c>
      <c r="M129">
        <v>1</v>
      </c>
      <c r="P129" s="6"/>
      <c r="V129" s="5">
        <f>IF($M129=1,G129,"")</f>
        <v>23497</v>
      </c>
      <c r="W129" s="5">
        <f>IF($M329=0, G329,"")</f>
        <v>26173</v>
      </c>
      <c r="X129" s="5">
        <f>IF($M129=1,J129,"")</f>
        <v>3935</v>
      </c>
      <c r="Y129" s="5">
        <f>IF($M329=0,J329,"")</f>
        <v>4035</v>
      </c>
      <c r="Z129" s="5">
        <f>IF($M129=1,K129,"")</f>
        <v>7</v>
      </c>
      <c r="AA129">
        <f>IF($M329=0,K329,"")</f>
        <v>45</v>
      </c>
      <c r="AB129">
        <f>IF($M129=1,L129,"")</f>
        <v>14.3</v>
      </c>
      <c r="AC129">
        <f>IF($M329=0,L329,"")</f>
        <v>8.9</v>
      </c>
    </row>
    <row r="130" spans="2:29" x14ac:dyDescent="0.3">
      <c r="B130">
        <v>66</v>
      </c>
      <c r="C130" t="s">
        <v>63</v>
      </c>
      <c r="D130">
        <v>7</v>
      </c>
      <c r="E130">
        <v>1</v>
      </c>
      <c r="F130">
        <v>7</v>
      </c>
      <c r="G130" s="5">
        <v>29370</v>
      </c>
      <c r="H130">
        <v>21</v>
      </c>
      <c r="I130" t="s">
        <v>68</v>
      </c>
      <c r="J130" s="5">
        <v>3962</v>
      </c>
      <c r="K130">
        <v>21</v>
      </c>
      <c r="L130">
        <f>'KRWSIP_Program_Baseline Data'!H131</f>
        <v>3.4</v>
      </c>
      <c r="M130">
        <v>1</v>
      </c>
      <c r="P130" s="6"/>
      <c r="V130" s="5">
        <f>IF($M130=1,G130,"")</f>
        <v>29370</v>
      </c>
      <c r="W130" s="5">
        <f>IF($M330=0, G330,"")</f>
        <v>40416</v>
      </c>
      <c r="X130" s="5">
        <f>IF($M130=1,J130,"")</f>
        <v>3962</v>
      </c>
      <c r="Y130" s="5">
        <f>IF($M330=0,J330,"")</f>
        <v>5540</v>
      </c>
      <c r="Z130" s="5">
        <f>IF($M130=1,K130,"")</f>
        <v>21</v>
      </c>
      <c r="AA130">
        <f>IF($M330=0,K330,"")</f>
        <v>85</v>
      </c>
      <c r="AB130">
        <f>IF($M130=1,L130,"")</f>
        <v>3.4</v>
      </c>
      <c r="AC130">
        <f>IF($M330=0,L330,"")</f>
        <v>10.5</v>
      </c>
    </row>
    <row r="131" spans="2:29" x14ac:dyDescent="0.3">
      <c r="B131">
        <v>318</v>
      </c>
      <c r="C131" t="s">
        <v>62</v>
      </c>
      <c r="D131">
        <v>4</v>
      </c>
      <c r="E131">
        <v>1</v>
      </c>
      <c r="F131">
        <v>4</v>
      </c>
      <c r="G131" s="5">
        <v>18680</v>
      </c>
      <c r="H131">
        <v>47</v>
      </c>
      <c r="I131" t="s">
        <v>69</v>
      </c>
      <c r="J131" s="5">
        <v>3132</v>
      </c>
      <c r="K131">
        <v>47</v>
      </c>
      <c r="L131">
        <f>'KRWSIP_Program_Baseline Data'!H132</f>
        <v>2.8</v>
      </c>
      <c r="M131">
        <v>1</v>
      </c>
      <c r="P131" s="6"/>
      <c r="V131" s="5">
        <f>IF($M131=1,G131,"")</f>
        <v>18680</v>
      </c>
      <c r="W131" s="5">
        <f>IF($M331=0, G331,"")</f>
        <v>25180</v>
      </c>
      <c r="X131" s="5">
        <f>IF($M131=1,J131,"")</f>
        <v>3132</v>
      </c>
      <c r="Y131" s="5">
        <f>IF($M331=0,J331,"")</f>
        <v>6459</v>
      </c>
      <c r="Z131" s="5">
        <f>IF($M131=1,K131,"")</f>
        <v>47</v>
      </c>
      <c r="AA131">
        <f>IF($M331=0,K331,"")</f>
        <v>67</v>
      </c>
      <c r="AB131">
        <f>IF($M131=1,L131,"")</f>
        <v>2.8</v>
      </c>
      <c r="AC131">
        <f>IF($M331=0,L331,"")</f>
        <v>8</v>
      </c>
    </row>
    <row r="132" spans="2:29" x14ac:dyDescent="0.3">
      <c r="B132">
        <v>81</v>
      </c>
      <c r="C132" t="s">
        <v>64</v>
      </c>
      <c r="D132">
        <v>3</v>
      </c>
      <c r="E132">
        <v>1</v>
      </c>
      <c r="F132">
        <v>3</v>
      </c>
      <c r="G132" s="5">
        <v>34590</v>
      </c>
      <c r="H132">
        <v>35</v>
      </c>
      <c r="I132" t="s">
        <v>69</v>
      </c>
      <c r="J132" s="5">
        <v>2940</v>
      </c>
      <c r="K132">
        <v>35</v>
      </c>
      <c r="L132">
        <f>'KRWSIP_Program_Baseline Data'!H133</f>
        <v>13.7</v>
      </c>
      <c r="M132">
        <v>1</v>
      </c>
      <c r="P132" s="6"/>
      <c r="V132" s="5">
        <f>IF($M132=1,G132,"")</f>
        <v>34590</v>
      </c>
      <c r="W132" s="5">
        <f>IF($M332=0, G332,"")</f>
        <v>30610</v>
      </c>
      <c r="X132" s="5">
        <f>IF($M132=1,J132,"")</f>
        <v>2940</v>
      </c>
      <c r="Y132" s="5">
        <f>IF($M332=0,J332,"")</f>
        <v>4805</v>
      </c>
      <c r="Z132" s="5">
        <f>IF($M132=1,K132,"")</f>
        <v>35</v>
      </c>
      <c r="AA132">
        <f>IF($M332=0,K332,"")</f>
        <v>16</v>
      </c>
      <c r="AB132">
        <f>IF($M132=1,L132,"")</f>
        <v>13.7</v>
      </c>
      <c r="AC132">
        <f>IF($M332=0,L332,"")</f>
        <v>9.6</v>
      </c>
    </row>
    <row r="133" spans="2:29" x14ac:dyDescent="0.3">
      <c r="B133">
        <v>195</v>
      </c>
      <c r="C133" t="s">
        <v>63</v>
      </c>
      <c r="D133">
        <v>7</v>
      </c>
      <c r="E133">
        <v>1</v>
      </c>
      <c r="F133">
        <v>7</v>
      </c>
      <c r="G133" s="5">
        <v>35986</v>
      </c>
      <c r="H133">
        <v>37</v>
      </c>
      <c r="I133" t="s">
        <v>69</v>
      </c>
      <c r="J133" s="5">
        <v>3219</v>
      </c>
      <c r="K133">
        <v>37</v>
      </c>
      <c r="L133">
        <f>'KRWSIP_Program_Baseline Data'!H134</f>
        <v>14.8</v>
      </c>
      <c r="M133">
        <v>1</v>
      </c>
      <c r="P133" s="6"/>
      <c r="V133" s="5">
        <f>IF($M133=1,G133,"")</f>
        <v>35986</v>
      </c>
      <c r="W133" s="5">
        <f>IF($M333=0, G333,"")</f>
        <v>46962</v>
      </c>
      <c r="X133" s="5">
        <f>IF($M133=1,J133,"")</f>
        <v>3219</v>
      </c>
      <c r="Y133" s="5">
        <f>IF($M333=0,J333,"")</f>
        <v>4671</v>
      </c>
      <c r="Z133" s="5">
        <f>IF($M133=1,K133,"")</f>
        <v>37</v>
      </c>
      <c r="AA133">
        <f>IF($M333=0,K333,"")</f>
        <v>39</v>
      </c>
      <c r="AB133">
        <f>IF($M133=1,L133,"")</f>
        <v>14.8</v>
      </c>
      <c r="AC133">
        <f>IF($M333=0,L333,"")</f>
        <v>13.5</v>
      </c>
    </row>
    <row r="134" spans="2:29" x14ac:dyDescent="0.3">
      <c r="B134">
        <v>305</v>
      </c>
      <c r="C134" t="s">
        <v>62</v>
      </c>
      <c r="D134">
        <v>2</v>
      </c>
      <c r="E134">
        <v>1</v>
      </c>
      <c r="F134">
        <v>2</v>
      </c>
      <c r="G134" s="5">
        <v>28896</v>
      </c>
      <c r="H134">
        <v>51</v>
      </c>
      <c r="I134" t="s">
        <v>68</v>
      </c>
      <c r="J134" s="5">
        <v>1824</v>
      </c>
      <c r="K134">
        <v>51</v>
      </c>
      <c r="L134">
        <f>'KRWSIP_Program_Baseline Data'!H135</f>
        <v>14.5</v>
      </c>
      <c r="M134">
        <v>1</v>
      </c>
      <c r="P134" s="6"/>
      <c r="V134" s="5">
        <f>IF($M134=1,G134,"")</f>
        <v>28896</v>
      </c>
      <c r="W134" s="5">
        <f>IF($M334=0, G334,"")</f>
        <v>40174</v>
      </c>
      <c r="X134" s="5">
        <f>IF($M134=1,J134,"")</f>
        <v>1824</v>
      </c>
      <c r="Y134" s="5">
        <f>IF($M334=0,J334,"")</f>
        <v>7028</v>
      </c>
      <c r="Z134" s="5">
        <f>IF($M134=1,K134,"")</f>
        <v>51</v>
      </c>
      <c r="AA134">
        <f>IF($M334=0,K334,"")</f>
        <v>15</v>
      </c>
      <c r="AB134">
        <f>IF($M134=1,L134,"")</f>
        <v>14.5</v>
      </c>
      <c r="AC134">
        <f>IF($M334=0,L334,"")</f>
        <v>3.5</v>
      </c>
    </row>
    <row r="135" spans="2:29" x14ac:dyDescent="0.3">
      <c r="B135">
        <v>296</v>
      </c>
      <c r="C135" t="s">
        <v>63</v>
      </c>
      <c r="D135">
        <v>2</v>
      </c>
      <c r="E135">
        <v>1</v>
      </c>
      <c r="F135">
        <v>2</v>
      </c>
      <c r="G135" s="5">
        <v>46459</v>
      </c>
      <c r="H135">
        <v>56</v>
      </c>
      <c r="I135" t="s">
        <v>67</v>
      </c>
      <c r="J135" s="5">
        <v>2751</v>
      </c>
      <c r="K135">
        <v>56</v>
      </c>
      <c r="L135">
        <f>'KRWSIP_Program_Baseline Data'!H136</f>
        <v>14</v>
      </c>
      <c r="M135">
        <v>1</v>
      </c>
      <c r="P135" s="6"/>
      <c r="V135" s="5">
        <f>IF($M135=1,G135,"")</f>
        <v>46459</v>
      </c>
      <c r="W135" s="5">
        <f>IF($M335=0, G335,"")</f>
        <v>36795</v>
      </c>
      <c r="X135" s="5">
        <f>IF($M135=1,J135,"")</f>
        <v>2751</v>
      </c>
      <c r="Y135" s="5">
        <f>IF($M335=0,J335,"")</f>
        <v>4189</v>
      </c>
      <c r="Z135" s="5">
        <f>IF($M135=1,K135,"")</f>
        <v>56</v>
      </c>
      <c r="AA135">
        <f>IF($M335=0,K335,"")</f>
        <v>59</v>
      </c>
      <c r="AB135">
        <f>IF($M135=1,L135,"")</f>
        <v>14</v>
      </c>
      <c r="AC135">
        <f>IF($M335=0,L335,"")</f>
        <v>8.8000000000000007</v>
      </c>
    </row>
    <row r="136" spans="2:29" x14ac:dyDescent="0.3">
      <c r="B136">
        <v>207</v>
      </c>
      <c r="C136" t="s">
        <v>63</v>
      </c>
      <c r="D136">
        <v>7</v>
      </c>
      <c r="E136">
        <v>1</v>
      </c>
      <c r="F136">
        <v>7</v>
      </c>
      <c r="G136" s="5">
        <v>41213</v>
      </c>
      <c r="H136">
        <v>6</v>
      </c>
      <c r="I136" t="s">
        <v>67</v>
      </c>
      <c r="J136" s="5">
        <v>3431</v>
      </c>
      <c r="K136">
        <v>6</v>
      </c>
      <c r="L136">
        <f>'KRWSIP_Program_Baseline Data'!H137</f>
        <v>2.1</v>
      </c>
      <c r="M136">
        <v>1</v>
      </c>
      <c r="P136" s="6"/>
      <c r="V136" s="5">
        <f>IF($M136=1,G136,"")</f>
        <v>41213</v>
      </c>
      <c r="W136" s="5">
        <f>IF($M336=0, G336,"")</f>
        <v>37569</v>
      </c>
      <c r="X136" s="5">
        <f>IF($M136=1,J136,"")</f>
        <v>3431</v>
      </c>
      <c r="Y136" s="5">
        <f>IF($M336=0,J336,"")</f>
        <v>4150</v>
      </c>
      <c r="Z136" s="5">
        <f>IF($M136=1,K136,"")</f>
        <v>6</v>
      </c>
      <c r="AA136">
        <f>IF($M336=0,K336,"")</f>
        <v>25</v>
      </c>
      <c r="AB136">
        <f>IF($M136=1,L136,"")</f>
        <v>2.1</v>
      </c>
      <c r="AC136">
        <f>IF($M336=0,L336,"")</f>
        <v>0.8</v>
      </c>
    </row>
    <row r="137" spans="2:29" x14ac:dyDescent="0.3">
      <c r="B137">
        <v>348</v>
      </c>
      <c r="C137" t="s">
        <v>65</v>
      </c>
      <c r="D137">
        <v>7</v>
      </c>
      <c r="E137">
        <v>1</v>
      </c>
      <c r="F137">
        <v>7</v>
      </c>
      <c r="G137" s="5">
        <v>26232</v>
      </c>
      <c r="H137">
        <v>25</v>
      </c>
      <c r="I137" t="s">
        <v>67</v>
      </c>
      <c r="J137" s="5">
        <v>4092</v>
      </c>
      <c r="K137">
        <v>25</v>
      </c>
      <c r="L137">
        <f>'KRWSIP_Program_Baseline Data'!H138</f>
        <v>7.3</v>
      </c>
      <c r="M137">
        <v>1</v>
      </c>
      <c r="P137" s="6"/>
      <c r="V137" s="5">
        <f>IF($M137=1,G137,"")</f>
        <v>26232</v>
      </c>
      <c r="W137" s="5">
        <f>IF($M337=0, G337,"")</f>
        <v>34993</v>
      </c>
      <c r="X137" s="5">
        <f>IF($M137=1,J137,"")</f>
        <v>4092</v>
      </c>
      <c r="Y137" s="5">
        <f>IF($M337=0,J337,"")</f>
        <v>4191</v>
      </c>
      <c r="Z137" s="5">
        <f>IF($M137=1,K137,"")</f>
        <v>25</v>
      </c>
      <c r="AA137">
        <f>IF($M337=0,K337,"")</f>
        <v>90</v>
      </c>
      <c r="AB137">
        <f>IF($M137=1,L137,"")</f>
        <v>7.3</v>
      </c>
      <c r="AC137">
        <f>IF($M337=0,L337,"")</f>
        <v>8.3000000000000007</v>
      </c>
    </row>
    <row r="138" spans="2:29" x14ac:dyDescent="0.3">
      <c r="B138">
        <v>304</v>
      </c>
      <c r="C138" t="s">
        <v>63</v>
      </c>
      <c r="D138">
        <v>6</v>
      </c>
      <c r="E138">
        <v>1</v>
      </c>
      <c r="F138">
        <v>6</v>
      </c>
      <c r="G138" s="5">
        <v>25489</v>
      </c>
      <c r="H138">
        <v>22</v>
      </c>
      <c r="I138" t="s">
        <v>68</v>
      </c>
      <c r="J138" s="5">
        <v>4003</v>
      </c>
      <c r="K138">
        <v>22</v>
      </c>
      <c r="L138">
        <f>'KRWSIP_Program_Baseline Data'!H139</f>
        <v>14.3</v>
      </c>
      <c r="M138">
        <v>1</v>
      </c>
      <c r="P138" s="6"/>
      <c r="V138" s="5">
        <f>IF($M138=1,G138,"")</f>
        <v>25489</v>
      </c>
      <c r="W138" s="5">
        <f>IF($M338=0, G338,"")</f>
        <v>15301</v>
      </c>
      <c r="X138" s="5">
        <f>IF($M138=1,J138,"")</f>
        <v>4003</v>
      </c>
      <c r="Y138" s="5">
        <f>IF($M338=0,J338,"")</f>
        <v>4986</v>
      </c>
      <c r="Z138" s="5">
        <f>IF($M138=1,K138,"")</f>
        <v>22</v>
      </c>
      <c r="AA138">
        <f>IF($M338=0,K338,"")</f>
        <v>27</v>
      </c>
      <c r="AB138">
        <f>IF($M138=1,L138,"")</f>
        <v>14.3</v>
      </c>
      <c r="AC138">
        <f>IF($M338=0,L338,"")</f>
        <v>8.1999999999999993</v>
      </c>
    </row>
    <row r="139" spans="2:29" x14ac:dyDescent="0.3">
      <c r="B139">
        <v>149</v>
      </c>
      <c r="C139" t="s">
        <v>62</v>
      </c>
      <c r="D139">
        <v>8</v>
      </c>
      <c r="E139">
        <v>1</v>
      </c>
      <c r="F139">
        <v>8</v>
      </c>
      <c r="G139" s="5">
        <v>29283</v>
      </c>
      <c r="H139">
        <v>10</v>
      </c>
      <c r="I139" t="s">
        <v>69</v>
      </c>
      <c r="J139" s="5">
        <v>4465</v>
      </c>
      <c r="K139">
        <v>10</v>
      </c>
      <c r="L139">
        <f>'KRWSIP_Program_Baseline Data'!H140</f>
        <v>12.2</v>
      </c>
      <c r="M139">
        <v>1</v>
      </c>
      <c r="P139" s="6"/>
      <c r="V139" s="5">
        <f>IF($M139=1,G139,"")</f>
        <v>29283</v>
      </c>
      <c r="W139" s="5">
        <f>IF($M339=0, G339,"")</f>
        <v>3822</v>
      </c>
      <c r="X139" s="5">
        <f>IF($M139=1,J139,"")</f>
        <v>4465</v>
      </c>
      <c r="Y139" s="5">
        <f>IF($M339=0,J339,"")</f>
        <v>3513</v>
      </c>
      <c r="Z139" s="5">
        <f>IF($M139=1,K139,"")</f>
        <v>10</v>
      </c>
      <c r="AA139">
        <f>IF($M339=0,K339,"")</f>
        <v>61</v>
      </c>
      <c r="AB139">
        <f>IF($M139=1,L139,"")</f>
        <v>12.2</v>
      </c>
      <c r="AC139">
        <f>IF($M339=0,L339,"")</f>
        <v>11.9</v>
      </c>
    </row>
    <row r="140" spans="2:29" x14ac:dyDescent="0.3">
      <c r="B140">
        <v>193</v>
      </c>
      <c r="C140" t="s">
        <v>65</v>
      </c>
      <c r="D140">
        <v>3</v>
      </c>
      <c r="E140">
        <v>1</v>
      </c>
      <c r="F140">
        <v>3</v>
      </c>
      <c r="G140" s="5">
        <v>28816</v>
      </c>
      <c r="H140">
        <v>19</v>
      </c>
      <c r="I140" t="s">
        <v>69</v>
      </c>
      <c r="J140" s="5">
        <v>2679</v>
      </c>
      <c r="K140">
        <v>19</v>
      </c>
      <c r="L140">
        <f>'KRWSIP_Program_Baseline Data'!H141</f>
        <v>14.8</v>
      </c>
      <c r="M140">
        <v>1</v>
      </c>
      <c r="P140" s="6"/>
      <c r="V140" s="5">
        <f>IF($M140=1,G140,"")</f>
        <v>28816</v>
      </c>
      <c r="W140" s="5">
        <f>IF($M340=0, G340,"")</f>
        <v>24123</v>
      </c>
      <c r="X140" s="5">
        <f>IF($M140=1,J140,"")</f>
        <v>2679</v>
      </c>
      <c r="Y140" s="5">
        <f>IF($M340=0,J340,"")</f>
        <v>5379</v>
      </c>
      <c r="Z140" s="5">
        <f>IF($M140=1,K140,"")</f>
        <v>19</v>
      </c>
      <c r="AA140">
        <f>IF($M340=0,K340,"")</f>
        <v>109</v>
      </c>
      <c r="AB140">
        <f>IF($M140=1,L140,"")</f>
        <v>14.8</v>
      </c>
      <c r="AC140">
        <f>IF($M340=0,L340,"")</f>
        <v>1</v>
      </c>
    </row>
    <row r="141" spans="2:29" x14ac:dyDescent="0.3">
      <c r="B141">
        <v>113</v>
      </c>
      <c r="C141" t="s">
        <v>65</v>
      </c>
      <c r="D141">
        <v>3</v>
      </c>
      <c r="E141">
        <v>1</v>
      </c>
      <c r="F141">
        <v>3</v>
      </c>
      <c r="G141" s="5">
        <v>23821</v>
      </c>
      <c r="H141">
        <v>52</v>
      </c>
      <c r="I141" t="s">
        <v>67</v>
      </c>
      <c r="J141" s="5">
        <v>2609</v>
      </c>
      <c r="K141">
        <v>52</v>
      </c>
      <c r="L141">
        <f>'KRWSIP_Program_Baseline Data'!H142</f>
        <v>9.1</v>
      </c>
      <c r="M141">
        <v>1</v>
      </c>
      <c r="P141" s="6"/>
      <c r="V141" s="5">
        <f>IF($M141=1,G141,"")</f>
        <v>23821</v>
      </c>
      <c r="W141" s="5">
        <f>IF($M341=0, G341,"")</f>
        <v>22665</v>
      </c>
      <c r="X141" s="5">
        <f>IF($M141=1,J141,"")</f>
        <v>2609</v>
      </c>
      <c r="Y141" s="5">
        <f>IF($M341=0,J341,"")</f>
        <v>5647</v>
      </c>
      <c r="Z141" s="5">
        <f>IF($M141=1,K141,"")</f>
        <v>52</v>
      </c>
      <c r="AA141">
        <f>IF($M341=0,K341,"")</f>
        <v>71</v>
      </c>
      <c r="AB141">
        <f>IF($M141=1,L141,"")</f>
        <v>9.1</v>
      </c>
      <c r="AC141">
        <f>IF($M341=0,L341,"")</f>
        <v>0.9</v>
      </c>
    </row>
    <row r="142" spans="2:29" x14ac:dyDescent="0.3">
      <c r="B142">
        <v>263</v>
      </c>
      <c r="C142" t="s">
        <v>62</v>
      </c>
      <c r="D142">
        <v>2</v>
      </c>
      <c r="E142">
        <v>1</v>
      </c>
      <c r="F142">
        <v>2</v>
      </c>
      <c r="G142" s="5">
        <v>37205</v>
      </c>
      <c r="H142">
        <v>44</v>
      </c>
      <c r="I142" t="s">
        <v>68</v>
      </c>
      <c r="J142" s="5">
        <v>2765</v>
      </c>
      <c r="K142">
        <v>44</v>
      </c>
      <c r="L142">
        <f>'KRWSIP_Program_Baseline Data'!H143</f>
        <v>1.6</v>
      </c>
      <c r="M142">
        <v>1</v>
      </c>
      <c r="P142" s="6"/>
      <c r="V142" s="5">
        <f>IF($M142=1,G142,"")</f>
        <v>37205</v>
      </c>
      <c r="W142" s="5">
        <f>IF($M342=0, G342,"")</f>
        <v>30282</v>
      </c>
      <c r="X142" s="5">
        <f>IF($M142=1,J142,"")</f>
        <v>2765</v>
      </c>
      <c r="Y142" s="5">
        <f>IF($M342=0,J342,"")</f>
        <v>4887</v>
      </c>
      <c r="Z142" s="5">
        <f>IF($M142=1,K142,"")</f>
        <v>44</v>
      </c>
      <c r="AA142">
        <f>IF($M342=0,K342,"")</f>
        <v>102</v>
      </c>
      <c r="AB142">
        <f>IF($M142=1,L142,"")</f>
        <v>1.6</v>
      </c>
      <c r="AC142">
        <f>IF($M342=0,L342,"")</f>
        <v>6.2</v>
      </c>
    </row>
    <row r="143" spans="2:29" x14ac:dyDescent="0.3">
      <c r="B143">
        <v>342</v>
      </c>
      <c r="C143" t="s">
        <v>65</v>
      </c>
      <c r="D143">
        <v>8</v>
      </c>
      <c r="E143">
        <v>1</v>
      </c>
      <c r="F143">
        <v>8</v>
      </c>
      <c r="G143" s="5">
        <v>25786</v>
      </c>
      <c r="H143">
        <v>14</v>
      </c>
      <c r="I143" t="s">
        <v>67</v>
      </c>
      <c r="J143" s="5">
        <v>4042</v>
      </c>
      <c r="K143">
        <v>14</v>
      </c>
      <c r="L143">
        <f>'KRWSIP_Program_Baseline Data'!H144</f>
        <v>12.5</v>
      </c>
      <c r="M143">
        <v>1</v>
      </c>
      <c r="P143" s="6"/>
      <c r="V143" s="5">
        <f>IF($M143=1,G143,"")</f>
        <v>25786</v>
      </c>
      <c r="W143" s="5">
        <f>IF($M343=0, G343,"")</f>
        <v>17971</v>
      </c>
      <c r="X143" s="5">
        <f>IF($M143=1,J143,"")</f>
        <v>4042</v>
      </c>
      <c r="Y143" s="5">
        <f>IF($M343=0,J343,"")</f>
        <v>4797</v>
      </c>
      <c r="Z143" s="5">
        <f>IF($M143=1,K143,"")</f>
        <v>14</v>
      </c>
      <c r="AA143">
        <f>IF($M343=0,K343,"")</f>
        <v>88</v>
      </c>
      <c r="AB143">
        <f>IF($M143=1,L143,"")</f>
        <v>12.5</v>
      </c>
      <c r="AC143">
        <f>IF($M343=0,L343,"")</f>
        <v>1.5</v>
      </c>
    </row>
    <row r="144" spans="2:29" x14ac:dyDescent="0.3">
      <c r="B144">
        <v>366</v>
      </c>
      <c r="C144" t="s">
        <v>65</v>
      </c>
      <c r="D144">
        <v>2</v>
      </c>
      <c r="E144">
        <v>1</v>
      </c>
      <c r="F144">
        <v>2</v>
      </c>
      <c r="G144" s="5">
        <v>36946</v>
      </c>
      <c r="H144">
        <v>49</v>
      </c>
      <c r="I144" t="s">
        <v>68</v>
      </c>
      <c r="J144" s="5">
        <v>1956</v>
      </c>
      <c r="K144">
        <v>49</v>
      </c>
      <c r="L144">
        <f>'KRWSIP_Program_Baseline Data'!H145</f>
        <v>1.5</v>
      </c>
      <c r="M144">
        <v>1</v>
      </c>
      <c r="P144" s="6"/>
      <c r="V144" s="5">
        <f>IF($M144=1,G144,"")</f>
        <v>36946</v>
      </c>
      <c r="W144" s="5">
        <f>IF($M344=0, G344,"")</f>
        <v>24891</v>
      </c>
      <c r="X144" s="5">
        <f>IF($M144=1,J144,"")</f>
        <v>1956</v>
      </c>
      <c r="Y144" s="5">
        <f>IF($M344=0,J344,"")</f>
        <v>5028</v>
      </c>
      <c r="Z144" s="5">
        <f>IF($M144=1,K144,"")</f>
        <v>49</v>
      </c>
      <c r="AA144">
        <f>IF($M344=0,K344,"")</f>
        <v>87</v>
      </c>
      <c r="AB144">
        <f>IF($M144=1,L144,"")</f>
        <v>1.5</v>
      </c>
      <c r="AC144">
        <f>IF($M344=0,L344,"")</f>
        <v>10.6</v>
      </c>
    </row>
    <row r="145" spans="2:29" x14ac:dyDescent="0.3">
      <c r="B145">
        <v>393</v>
      </c>
      <c r="C145" t="s">
        <v>65</v>
      </c>
      <c r="D145">
        <v>8</v>
      </c>
      <c r="E145">
        <v>1</v>
      </c>
      <c r="F145">
        <v>8</v>
      </c>
      <c r="G145" s="5">
        <v>37987</v>
      </c>
      <c r="H145">
        <v>44</v>
      </c>
      <c r="I145" t="s">
        <v>68</v>
      </c>
      <c r="J145" s="5">
        <v>4305</v>
      </c>
      <c r="K145">
        <v>44</v>
      </c>
      <c r="L145">
        <f>'KRWSIP_Program_Baseline Data'!H146</f>
        <v>7.2</v>
      </c>
      <c r="M145">
        <v>1</v>
      </c>
      <c r="P145" s="6"/>
      <c r="V145" s="5">
        <f>IF($M145=1,G145,"")</f>
        <v>37987</v>
      </c>
      <c r="W145" s="5">
        <f>IF($M345=0, G345,"")</f>
        <v>23802</v>
      </c>
      <c r="X145" s="5">
        <f>IF($M145=1,J145,"")</f>
        <v>4305</v>
      </c>
      <c r="Y145" s="5">
        <f>IF($M345=0,J345,"")</f>
        <v>4866</v>
      </c>
      <c r="Z145" s="5">
        <f>IF($M145=1,K145,"")</f>
        <v>44</v>
      </c>
      <c r="AA145">
        <f>IF($M345=0,K345,"")</f>
        <v>91</v>
      </c>
      <c r="AB145">
        <f>IF($M145=1,L145,"")</f>
        <v>7.2</v>
      </c>
      <c r="AC145">
        <f>IF($M345=0,L345,"")</f>
        <v>7.9</v>
      </c>
    </row>
    <row r="146" spans="2:29" x14ac:dyDescent="0.3">
      <c r="B146">
        <v>373</v>
      </c>
      <c r="C146" t="s">
        <v>62</v>
      </c>
      <c r="D146">
        <v>2</v>
      </c>
      <c r="E146">
        <v>1</v>
      </c>
      <c r="F146">
        <v>2</v>
      </c>
      <c r="G146" s="5">
        <v>28533</v>
      </c>
      <c r="H146">
        <v>53</v>
      </c>
      <c r="I146" t="s">
        <v>68</v>
      </c>
      <c r="J146" s="5">
        <v>2322</v>
      </c>
      <c r="K146">
        <v>53</v>
      </c>
      <c r="L146">
        <f>'KRWSIP_Program_Baseline Data'!H147</f>
        <v>5.7</v>
      </c>
      <c r="M146">
        <v>1</v>
      </c>
      <c r="P146" s="6"/>
      <c r="V146" s="5">
        <f>IF($M146=1,G146,"")</f>
        <v>28533</v>
      </c>
      <c r="W146" s="5">
        <f>IF($M346=0, G346,"")</f>
        <v>14157</v>
      </c>
      <c r="X146" s="5">
        <f>IF($M146=1,J146,"")</f>
        <v>2322</v>
      </c>
      <c r="Y146" s="5">
        <f>IF($M346=0,J346,"")</f>
        <v>4923</v>
      </c>
      <c r="Z146" s="5">
        <f>IF($M146=1,K146,"")</f>
        <v>53</v>
      </c>
      <c r="AA146">
        <f>IF($M346=0,K346,"")</f>
        <v>52</v>
      </c>
      <c r="AB146">
        <f>IF($M146=1,L146,"")</f>
        <v>5.7</v>
      </c>
      <c r="AC146">
        <f>IF($M346=0,L346,"")</f>
        <v>12.9</v>
      </c>
    </row>
    <row r="147" spans="2:29" x14ac:dyDescent="0.3">
      <c r="B147">
        <v>353</v>
      </c>
      <c r="C147" t="s">
        <v>64</v>
      </c>
      <c r="D147">
        <v>2</v>
      </c>
      <c r="E147">
        <v>1</v>
      </c>
      <c r="F147">
        <v>2</v>
      </c>
      <c r="G147" s="5">
        <v>30684</v>
      </c>
      <c r="H147">
        <v>12</v>
      </c>
      <c r="I147" t="s">
        <v>68</v>
      </c>
      <c r="J147" s="5">
        <v>2351</v>
      </c>
      <c r="K147">
        <v>12</v>
      </c>
      <c r="L147">
        <f>'KRWSIP_Program_Baseline Data'!H148</f>
        <v>9.1999999999999993</v>
      </c>
      <c r="M147">
        <v>1</v>
      </c>
      <c r="P147" s="6"/>
      <c r="V147" s="5">
        <f>IF($M147=1,G147,"")</f>
        <v>30684</v>
      </c>
      <c r="W147" s="5">
        <f>IF($M347=0, G347,"")</f>
        <v>32393</v>
      </c>
      <c r="X147" s="5">
        <f>IF($M147=1,J147,"")</f>
        <v>2351</v>
      </c>
      <c r="Y147" s="5">
        <f>IF($M347=0,J347,"")</f>
        <v>5797</v>
      </c>
      <c r="Z147" s="5">
        <f>IF($M147=1,K147,"")</f>
        <v>12</v>
      </c>
      <c r="AA147">
        <f>IF($M347=0,K347,"")</f>
        <v>73</v>
      </c>
      <c r="AB147">
        <f>IF($M147=1,L147,"")</f>
        <v>9.1999999999999993</v>
      </c>
      <c r="AC147">
        <f>IF($M347=0,L347,"")</f>
        <v>2.4</v>
      </c>
    </row>
    <row r="148" spans="2:29" x14ac:dyDescent="0.3">
      <c r="B148">
        <v>378</v>
      </c>
      <c r="C148" t="s">
        <v>63</v>
      </c>
      <c r="D148">
        <v>8</v>
      </c>
      <c r="E148">
        <v>1</v>
      </c>
      <c r="F148">
        <v>8</v>
      </c>
      <c r="G148" s="5">
        <v>31449</v>
      </c>
      <c r="H148">
        <v>33</v>
      </c>
      <c r="I148" t="s">
        <v>68</v>
      </c>
      <c r="J148" s="5">
        <v>4606</v>
      </c>
      <c r="K148">
        <v>33</v>
      </c>
      <c r="L148">
        <f>'KRWSIP_Program_Baseline Data'!H149</f>
        <v>1.3</v>
      </c>
      <c r="M148">
        <v>1</v>
      </c>
      <c r="P148" s="6"/>
      <c r="V148" s="5">
        <f>IF($M148=1,G148,"")</f>
        <v>31449</v>
      </c>
      <c r="W148" s="5">
        <f>IF($M348=0, G348,"")</f>
        <v>38960</v>
      </c>
      <c r="X148" s="5">
        <f>IF($M148=1,J148,"")</f>
        <v>4606</v>
      </c>
      <c r="Y148" s="5">
        <f>IF($M348=0,J348,"")</f>
        <v>3478</v>
      </c>
      <c r="Z148" s="5">
        <f>IF($M148=1,K148,"")</f>
        <v>33</v>
      </c>
      <c r="AA148">
        <f>IF($M348=0,K348,"")</f>
        <v>27</v>
      </c>
      <c r="AB148">
        <f>IF($M148=1,L148,"")</f>
        <v>1.3</v>
      </c>
      <c r="AC148">
        <f>IF($M348=0,L348,"")</f>
        <v>4.5999999999999996</v>
      </c>
    </row>
    <row r="149" spans="2:29" x14ac:dyDescent="0.3">
      <c r="B149">
        <v>59</v>
      </c>
      <c r="C149" t="s">
        <v>63</v>
      </c>
      <c r="D149">
        <v>7</v>
      </c>
      <c r="E149">
        <v>1</v>
      </c>
      <c r="F149">
        <v>7</v>
      </c>
      <c r="G149" s="5">
        <v>23416</v>
      </c>
      <c r="H149">
        <v>18</v>
      </c>
      <c r="I149" t="s">
        <v>69</v>
      </c>
      <c r="J149" s="5">
        <v>3228</v>
      </c>
      <c r="K149">
        <v>18</v>
      </c>
      <c r="L149">
        <f>'KRWSIP_Program_Baseline Data'!H150</f>
        <v>14.1</v>
      </c>
      <c r="M149">
        <v>1</v>
      </c>
      <c r="P149" s="6"/>
      <c r="V149" s="5">
        <f>IF($M149=1,G149,"")</f>
        <v>23416</v>
      </c>
      <c r="W149" s="5">
        <f>IF($M349=0, G349,"")</f>
        <v>23984</v>
      </c>
      <c r="X149" s="5">
        <f>IF($M149=1,J149,"")</f>
        <v>3228</v>
      </c>
      <c r="Y149" s="5">
        <f>IF($M349=0,J349,"")</f>
        <v>5117</v>
      </c>
      <c r="Z149" s="5">
        <f>IF($M149=1,K149,"")</f>
        <v>18</v>
      </c>
      <c r="AA149">
        <f>IF($M349=0,K349,"")</f>
        <v>95</v>
      </c>
      <c r="AB149">
        <f>IF($M149=1,L149,"")</f>
        <v>14.1</v>
      </c>
      <c r="AC149">
        <f>IF($M349=0,L349,"")</f>
        <v>1.9</v>
      </c>
    </row>
    <row r="150" spans="2:29" x14ac:dyDescent="0.3">
      <c r="B150">
        <v>104</v>
      </c>
      <c r="C150" t="s">
        <v>65</v>
      </c>
      <c r="D150">
        <v>7</v>
      </c>
      <c r="E150">
        <v>1</v>
      </c>
      <c r="F150">
        <v>7</v>
      </c>
      <c r="G150" s="5">
        <v>30711</v>
      </c>
      <c r="H150">
        <v>35</v>
      </c>
      <c r="I150" t="s">
        <v>67</v>
      </c>
      <c r="J150" s="5">
        <v>4076</v>
      </c>
      <c r="K150">
        <v>35</v>
      </c>
      <c r="L150">
        <f>'KRWSIP_Program_Baseline Data'!H151</f>
        <v>12.3</v>
      </c>
      <c r="M150">
        <v>1</v>
      </c>
      <c r="P150" s="6"/>
      <c r="V150" s="5">
        <f>IF($M150=1,G150,"")</f>
        <v>30711</v>
      </c>
      <c r="W150" s="5">
        <f>IF($M350=0, G350,"")</f>
        <v>20810</v>
      </c>
      <c r="X150" s="5">
        <f>IF($M150=1,J150,"")</f>
        <v>4076</v>
      </c>
      <c r="Y150" s="5">
        <f>IF($M350=0,J350,"")</f>
        <v>4084</v>
      </c>
      <c r="Z150" s="5">
        <f>IF($M150=1,K150,"")</f>
        <v>35</v>
      </c>
      <c r="AA150">
        <f>IF($M350=0,K350,"")</f>
        <v>91</v>
      </c>
      <c r="AB150">
        <f>IF($M150=1,L150,"")</f>
        <v>12.3</v>
      </c>
      <c r="AC150">
        <f>IF($M350=0,L350,"")</f>
        <v>11.5</v>
      </c>
    </row>
    <row r="151" spans="2:29" x14ac:dyDescent="0.3">
      <c r="B151">
        <v>237</v>
      </c>
      <c r="C151" t="s">
        <v>65</v>
      </c>
      <c r="D151">
        <v>7</v>
      </c>
      <c r="E151">
        <v>1</v>
      </c>
      <c r="F151">
        <v>7</v>
      </c>
      <c r="G151" s="5">
        <v>45848</v>
      </c>
      <c r="H151">
        <v>37</v>
      </c>
      <c r="I151" t="s">
        <v>68</v>
      </c>
      <c r="J151" s="5">
        <v>2831</v>
      </c>
      <c r="K151">
        <v>37</v>
      </c>
      <c r="L151">
        <f>'KRWSIP_Program_Baseline Data'!H152</f>
        <v>5.4</v>
      </c>
      <c r="M151">
        <v>1</v>
      </c>
      <c r="P151" s="6"/>
      <c r="V151" s="5">
        <f>IF($M151=1,G151,"")</f>
        <v>45848</v>
      </c>
      <c r="W151" s="5">
        <f>IF($M351=0, G351,"")</f>
        <v>17932</v>
      </c>
      <c r="X151" s="5">
        <f>IF($M151=1,J151,"")</f>
        <v>2831</v>
      </c>
      <c r="Y151" s="5">
        <f>IF($M351=0,J351,"")</f>
        <v>2754</v>
      </c>
      <c r="Z151" s="5">
        <f>IF($M151=1,K151,"")</f>
        <v>37</v>
      </c>
      <c r="AA151">
        <f>IF($M351=0,K351,"")</f>
        <v>103</v>
      </c>
      <c r="AB151">
        <f>IF($M151=1,L151,"")</f>
        <v>5.4</v>
      </c>
      <c r="AC151">
        <f>IF($M351=0,L351,"")</f>
        <v>7.9</v>
      </c>
    </row>
    <row r="152" spans="2:29" x14ac:dyDescent="0.3">
      <c r="B152">
        <v>398</v>
      </c>
      <c r="C152" t="s">
        <v>64</v>
      </c>
      <c r="D152">
        <v>8</v>
      </c>
      <c r="E152">
        <v>1</v>
      </c>
      <c r="F152">
        <v>8</v>
      </c>
      <c r="G152" s="5">
        <v>18675</v>
      </c>
      <c r="H152">
        <v>14</v>
      </c>
      <c r="I152" t="s">
        <v>68</v>
      </c>
      <c r="J152" s="5">
        <v>3832</v>
      </c>
      <c r="K152">
        <v>14</v>
      </c>
      <c r="L152">
        <f>'KRWSIP_Program_Baseline Data'!H153</f>
        <v>11.7</v>
      </c>
      <c r="M152">
        <v>1</v>
      </c>
      <c r="P152" s="6"/>
      <c r="V152" s="5">
        <f>IF($M152=1,G152,"")</f>
        <v>18675</v>
      </c>
      <c r="W152" s="5">
        <f>IF($M352=0, G352,"")</f>
        <v>25912</v>
      </c>
      <c r="X152" s="5">
        <f>IF($M152=1,J152,"")</f>
        <v>3832</v>
      </c>
      <c r="Y152" s="5">
        <f>IF($M352=0,J352,"")</f>
        <v>6546</v>
      </c>
      <c r="Z152" s="5">
        <f>IF($M152=1,K152,"")</f>
        <v>14</v>
      </c>
      <c r="AA152">
        <f>IF($M352=0,K352,"")</f>
        <v>32</v>
      </c>
      <c r="AB152">
        <f>IF($M152=1,L152,"")</f>
        <v>11.7</v>
      </c>
      <c r="AC152">
        <f>IF($M352=0,L352,"")</f>
        <v>3.4</v>
      </c>
    </row>
    <row r="153" spans="2:29" x14ac:dyDescent="0.3">
      <c r="B153">
        <v>127</v>
      </c>
      <c r="C153" t="s">
        <v>65</v>
      </c>
      <c r="D153">
        <v>6</v>
      </c>
      <c r="E153">
        <v>1</v>
      </c>
      <c r="F153">
        <v>6</v>
      </c>
      <c r="G153" s="5">
        <v>36957</v>
      </c>
      <c r="H153">
        <v>28</v>
      </c>
      <c r="I153" t="s">
        <v>68</v>
      </c>
      <c r="J153" s="5">
        <v>3251</v>
      </c>
      <c r="K153">
        <v>28</v>
      </c>
      <c r="L153">
        <f>'KRWSIP_Program_Baseline Data'!H154</f>
        <v>2.5</v>
      </c>
      <c r="M153">
        <v>1</v>
      </c>
      <c r="P153" s="6"/>
      <c r="V153" s="5">
        <f>IF($M153=1,G153,"")</f>
        <v>36957</v>
      </c>
      <c r="W153" s="5">
        <f>IF($M353=0, G353,"")</f>
        <v>16504</v>
      </c>
      <c r="X153" s="5">
        <f>IF($M153=1,J153,"")</f>
        <v>3251</v>
      </c>
      <c r="Y153" s="5">
        <f>IF($M353=0,J353,"")</f>
        <v>5642</v>
      </c>
      <c r="Z153" s="5">
        <f>IF($M153=1,K153,"")</f>
        <v>28</v>
      </c>
      <c r="AA153">
        <f>IF($M353=0,K353,"")</f>
        <v>55</v>
      </c>
      <c r="AB153">
        <f>IF($M153=1,L153,"")</f>
        <v>2.5</v>
      </c>
      <c r="AC153">
        <f>IF($M353=0,L353,"")</f>
        <v>5.6</v>
      </c>
    </row>
    <row r="154" spans="2:29" x14ac:dyDescent="0.3">
      <c r="B154">
        <v>85</v>
      </c>
      <c r="C154" t="s">
        <v>65</v>
      </c>
      <c r="D154">
        <v>2</v>
      </c>
      <c r="E154">
        <v>1</v>
      </c>
      <c r="F154">
        <v>2</v>
      </c>
      <c r="G154" s="5">
        <v>31633</v>
      </c>
      <c r="H154">
        <v>19</v>
      </c>
      <c r="I154" t="s">
        <v>66</v>
      </c>
      <c r="J154" s="5">
        <v>1860</v>
      </c>
      <c r="K154">
        <v>19</v>
      </c>
      <c r="L154">
        <f>'KRWSIP_Program_Baseline Data'!H155</f>
        <v>2.2000000000000002</v>
      </c>
      <c r="M154">
        <v>1</v>
      </c>
      <c r="P154" s="6"/>
      <c r="V154" s="5">
        <f>IF($M154=1,G154,"")</f>
        <v>31633</v>
      </c>
      <c r="W154" s="5">
        <f>IF($M354=0, G354,"")</f>
        <v>20582</v>
      </c>
      <c r="X154" s="5">
        <f>IF($M154=1,J154,"")</f>
        <v>1860</v>
      </c>
      <c r="Y154" s="5">
        <f>IF($M354=0,J354,"")</f>
        <v>4458</v>
      </c>
      <c r="Z154" s="5">
        <f>IF($M154=1,K154,"")</f>
        <v>19</v>
      </c>
      <c r="AA154">
        <f>IF($M354=0,K354,"")</f>
        <v>68</v>
      </c>
      <c r="AB154">
        <f>IF($M154=1,L154,"")</f>
        <v>2.2000000000000002</v>
      </c>
      <c r="AC154">
        <f>IF($M354=0,L354,"")</f>
        <v>4.8</v>
      </c>
    </row>
    <row r="155" spans="2:29" x14ac:dyDescent="0.3">
      <c r="B155">
        <v>351</v>
      </c>
      <c r="C155" t="s">
        <v>63</v>
      </c>
      <c r="D155">
        <v>5</v>
      </c>
      <c r="E155">
        <v>1</v>
      </c>
      <c r="F155">
        <v>5</v>
      </c>
      <c r="G155" s="5">
        <v>21083</v>
      </c>
      <c r="H155">
        <v>22</v>
      </c>
      <c r="I155" t="s">
        <v>68</v>
      </c>
      <c r="J155" s="5">
        <v>3556</v>
      </c>
      <c r="K155">
        <v>22</v>
      </c>
      <c r="L155">
        <f>'KRWSIP_Program_Baseline Data'!H156</f>
        <v>3.2</v>
      </c>
      <c r="M155">
        <v>1</v>
      </c>
      <c r="P155" s="6"/>
      <c r="V155" s="5">
        <f>IF($M155=1,G155,"")</f>
        <v>21083</v>
      </c>
      <c r="W155" s="5">
        <f>IF($M355=0, G355,"")</f>
        <v>33012</v>
      </c>
      <c r="X155" s="5">
        <f>IF($M155=1,J155,"")</f>
        <v>3556</v>
      </c>
      <c r="Y155" s="5">
        <f>IF($M355=0,J355,"")</f>
        <v>5462</v>
      </c>
      <c r="Z155" s="5">
        <f>IF($M155=1,K155,"")</f>
        <v>22</v>
      </c>
      <c r="AA155">
        <f>IF($M355=0,K355,"")</f>
        <v>22</v>
      </c>
      <c r="AB155">
        <f>IF($M155=1,L155,"")</f>
        <v>3.2</v>
      </c>
      <c r="AC155">
        <f>IF($M355=0,L355,"")</f>
        <v>14.5</v>
      </c>
    </row>
    <row r="156" spans="2:29" x14ac:dyDescent="0.3">
      <c r="B156">
        <v>273</v>
      </c>
      <c r="C156" t="s">
        <v>63</v>
      </c>
      <c r="D156">
        <v>5</v>
      </c>
      <c r="E156">
        <v>1</v>
      </c>
      <c r="F156">
        <v>5</v>
      </c>
      <c r="G156" s="5">
        <v>14693</v>
      </c>
      <c r="H156">
        <v>36</v>
      </c>
      <c r="I156" t="s">
        <v>68</v>
      </c>
      <c r="J156" s="5">
        <v>3117</v>
      </c>
      <c r="K156">
        <v>36</v>
      </c>
      <c r="L156">
        <f>'KRWSIP_Program_Baseline Data'!H157</f>
        <v>9.1999999999999993</v>
      </c>
      <c r="M156">
        <v>1</v>
      </c>
      <c r="P156" s="6"/>
      <c r="V156" s="5">
        <f>IF($M156=1,G156,"")</f>
        <v>14693</v>
      </c>
      <c r="W156" s="5">
        <f>IF($M356=0, G356,"")</f>
        <v>35868</v>
      </c>
      <c r="X156" s="5">
        <f>IF($M156=1,J156,"")</f>
        <v>3117</v>
      </c>
      <c r="Y156" s="5">
        <f>IF($M356=0,J356,"")</f>
        <v>3371</v>
      </c>
      <c r="Z156" s="5">
        <f>IF($M156=1,K156,"")</f>
        <v>36</v>
      </c>
      <c r="AA156">
        <f>IF($M356=0,K356,"")</f>
        <v>37</v>
      </c>
      <c r="AB156">
        <f>IF($M156=1,L156,"")</f>
        <v>9.1999999999999993</v>
      </c>
      <c r="AC156">
        <f>IF($M356=0,L356,"")</f>
        <v>6.9</v>
      </c>
    </row>
    <row r="157" spans="2:29" x14ac:dyDescent="0.3">
      <c r="B157">
        <v>250</v>
      </c>
      <c r="C157" t="s">
        <v>63</v>
      </c>
      <c r="D157">
        <v>7</v>
      </c>
      <c r="E157">
        <v>1</v>
      </c>
      <c r="F157">
        <v>7</v>
      </c>
      <c r="G157" s="5">
        <v>24963</v>
      </c>
      <c r="H157">
        <v>41</v>
      </c>
      <c r="I157" t="s">
        <v>66</v>
      </c>
      <c r="J157" s="5">
        <v>4285</v>
      </c>
      <c r="K157">
        <v>41</v>
      </c>
      <c r="L157">
        <f>'KRWSIP_Program_Baseline Data'!H158</f>
        <v>12.5</v>
      </c>
      <c r="M157">
        <v>1</v>
      </c>
      <c r="P157" s="6"/>
      <c r="V157" s="5">
        <f>IF($M157=1,G157,"")</f>
        <v>24963</v>
      </c>
      <c r="W157" s="5">
        <f>IF($M357=0, G357,"")</f>
        <v>36105</v>
      </c>
      <c r="X157" s="5">
        <f>IF($M157=1,J157,"")</f>
        <v>4285</v>
      </c>
      <c r="Y157" s="5">
        <f>IF($M357=0,J357,"")</f>
        <v>5323</v>
      </c>
      <c r="Z157" s="5">
        <f>IF($M157=1,K157,"")</f>
        <v>41</v>
      </c>
      <c r="AA157">
        <f>IF($M357=0,K357,"")</f>
        <v>20</v>
      </c>
      <c r="AB157">
        <f>IF($M157=1,L157,"")</f>
        <v>12.5</v>
      </c>
      <c r="AC157">
        <f>IF($M357=0,L357,"")</f>
        <v>11.9</v>
      </c>
    </row>
    <row r="158" spans="2:29" x14ac:dyDescent="0.3">
      <c r="B158">
        <v>30</v>
      </c>
      <c r="C158" t="s">
        <v>64</v>
      </c>
      <c r="D158">
        <v>2</v>
      </c>
      <c r="E158">
        <v>1</v>
      </c>
      <c r="F158">
        <v>2</v>
      </c>
      <c r="G158" s="5">
        <v>18571</v>
      </c>
      <c r="H158">
        <v>43</v>
      </c>
      <c r="I158" t="s">
        <v>68</v>
      </c>
      <c r="J158" s="5">
        <v>1900</v>
      </c>
      <c r="K158">
        <v>43</v>
      </c>
      <c r="L158">
        <f>'KRWSIP_Program_Baseline Data'!H159</f>
        <v>8.3000000000000007</v>
      </c>
      <c r="M158">
        <v>1</v>
      </c>
      <c r="P158" s="6"/>
      <c r="V158" s="5">
        <f>IF($M158=1,G158,"")</f>
        <v>18571</v>
      </c>
      <c r="W158" s="5">
        <f>IF($M358=0, G358,"")</f>
        <v>26285</v>
      </c>
      <c r="X158" s="5">
        <f>IF($M158=1,J158,"")</f>
        <v>1900</v>
      </c>
      <c r="Y158" s="5">
        <f>IF($M358=0,J358,"")</f>
        <v>4161</v>
      </c>
      <c r="Z158" s="5">
        <f>IF($M158=1,K158,"")</f>
        <v>43</v>
      </c>
      <c r="AA158">
        <f>IF($M358=0,K358,"")</f>
        <v>58</v>
      </c>
      <c r="AB158">
        <f>IF($M158=1,L158,"")</f>
        <v>8.3000000000000007</v>
      </c>
      <c r="AC158">
        <f>IF($M358=0,L358,"")</f>
        <v>7.6</v>
      </c>
    </row>
    <row r="159" spans="2:29" x14ac:dyDescent="0.3">
      <c r="B159">
        <v>28</v>
      </c>
      <c r="C159" t="s">
        <v>65</v>
      </c>
      <c r="D159">
        <v>5</v>
      </c>
      <c r="E159">
        <v>1</v>
      </c>
      <c r="F159">
        <v>5</v>
      </c>
      <c r="G159" s="5">
        <v>36459</v>
      </c>
      <c r="H159">
        <v>20</v>
      </c>
      <c r="I159" t="s">
        <v>67</v>
      </c>
      <c r="J159" s="5">
        <v>2777</v>
      </c>
      <c r="K159">
        <v>20</v>
      </c>
      <c r="L159">
        <f>'KRWSIP_Program_Baseline Data'!H160</f>
        <v>14.2</v>
      </c>
      <c r="M159">
        <v>1</v>
      </c>
      <c r="P159" s="6"/>
      <c r="V159" s="5">
        <f>IF($M159=1,G159,"")</f>
        <v>36459</v>
      </c>
      <c r="W159" s="5">
        <f>IF($M359=0, G359,"")</f>
        <v>24838</v>
      </c>
      <c r="X159" s="5">
        <f>IF($M159=1,J159,"")</f>
        <v>2777</v>
      </c>
      <c r="Y159" s="5">
        <f>IF($M359=0,J359,"")</f>
        <v>5261</v>
      </c>
      <c r="Z159" s="5">
        <f>IF($M159=1,K159,"")</f>
        <v>20</v>
      </c>
      <c r="AA159">
        <f>IF($M359=0,K359,"")</f>
        <v>64</v>
      </c>
      <c r="AB159">
        <f>IF($M159=1,L159,"")</f>
        <v>14.2</v>
      </c>
      <c r="AC159">
        <f>IF($M359=0,L359,"")</f>
        <v>11.1</v>
      </c>
    </row>
    <row r="160" spans="2:29" x14ac:dyDescent="0.3">
      <c r="B160">
        <v>218</v>
      </c>
      <c r="C160" t="s">
        <v>63</v>
      </c>
      <c r="D160">
        <v>2</v>
      </c>
      <c r="E160">
        <v>1</v>
      </c>
      <c r="F160">
        <v>2</v>
      </c>
      <c r="G160" s="5">
        <v>25376</v>
      </c>
      <c r="H160">
        <v>7</v>
      </c>
      <c r="I160" t="s">
        <v>67</v>
      </c>
      <c r="J160" s="5">
        <v>3340</v>
      </c>
      <c r="K160">
        <v>7</v>
      </c>
      <c r="L160">
        <f>'KRWSIP_Program_Baseline Data'!H161</f>
        <v>8.5</v>
      </c>
      <c r="M160">
        <v>1</v>
      </c>
      <c r="P160" s="6"/>
      <c r="V160" s="5">
        <f>IF($M160=1,G160,"")</f>
        <v>25376</v>
      </c>
      <c r="W160" s="5">
        <f>IF($M360=0, G360,"")</f>
        <v>25324</v>
      </c>
      <c r="X160" s="5">
        <f>IF($M160=1,J160,"")</f>
        <v>3340</v>
      </c>
      <c r="Y160" s="5">
        <f>IF($M360=0,J360,"")</f>
        <v>4319</v>
      </c>
      <c r="Z160" s="5">
        <f>IF($M160=1,K160,"")</f>
        <v>7</v>
      </c>
      <c r="AA160">
        <f>IF($M360=0,K360,"")</f>
        <v>34</v>
      </c>
      <c r="AB160">
        <f>IF($M160=1,L160,"")</f>
        <v>8.5</v>
      </c>
      <c r="AC160">
        <f>IF($M360=0,L360,"")</f>
        <v>8.3000000000000007</v>
      </c>
    </row>
    <row r="161" spans="2:29" x14ac:dyDescent="0.3">
      <c r="B161">
        <v>170</v>
      </c>
      <c r="C161" t="s">
        <v>62</v>
      </c>
      <c r="D161">
        <v>4</v>
      </c>
      <c r="E161">
        <v>1</v>
      </c>
      <c r="F161">
        <v>4</v>
      </c>
      <c r="G161" s="5">
        <v>23927</v>
      </c>
      <c r="H161">
        <v>36</v>
      </c>
      <c r="I161" t="s">
        <v>67</v>
      </c>
      <c r="J161" s="5">
        <v>3496</v>
      </c>
      <c r="K161">
        <v>36</v>
      </c>
      <c r="L161">
        <f>'KRWSIP_Program_Baseline Data'!H162</f>
        <v>14</v>
      </c>
      <c r="M161">
        <v>1</v>
      </c>
      <c r="P161" s="6"/>
      <c r="V161" s="5">
        <f>IF($M161=1,G161,"")</f>
        <v>23927</v>
      </c>
      <c r="W161" s="5">
        <f>IF($M361=0, G361,"")</f>
        <v>42798</v>
      </c>
      <c r="X161" s="5">
        <f>IF($M161=1,J161,"")</f>
        <v>3496</v>
      </c>
      <c r="Y161" s="5">
        <f>IF($M361=0,J361,"")</f>
        <v>5464</v>
      </c>
      <c r="Z161" s="5">
        <f>IF($M161=1,K161,"")</f>
        <v>36</v>
      </c>
      <c r="AA161">
        <f>IF($M361=0,K361,"")</f>
        <v>59</v>
      </c>
      <c r="AB161">
        <f>IF($M161=1,L161,"")</f>
        <v>14</v>
      </c>
      <c r="AC161">
        <f>IF($M361=0,L361,"")</f>
        <v>7.4</v>
      </c>
    </row>
    <row r="162" spans="2:29" x14ac:dyDescent="0.3">
      <c r="B162">
        <v>147</v>
      </c>
      <c r="C162" t="s">
        <v>63</v>
      </c>
      <c r="D162">
        <v>4</v>
      </c>
      <c r="E162">
        <v>1</v>
      </c>
      <c r="F162">
        <v>4</v>
      </c>
      <c r="G162" s="5">
        <v>27668</v>
      </c>
      <c r="H162">
        <v>47</v>
      </c>
      <c r="I162" t="s">
        <v>66</v>
      </c>
      <c r="J162" s="5">
        <v>2249</v>
      </c>
      <c r="K162">
        <v>47</v>
      </c>
      <c r="L162">
        <f>'KRWSIP_Program_Baseline Data'!H163</f>
        <v>3.4</v>
      </c>
      <c r="M162">
        <v>1</v>
      </c>
      <c r="P162" s="6"/>
      <c r="V162" s="5">
        <f>IF($M162=1,G162,"")</f>
        <v>27668</v>
      </c>
      <c r="W162" s="5">
        <f>IF($M362=0, G362,"")</f>
        <v>25581</v>
      </c>
      <c r="X162" s="5">
        <f>IF($M162=1,J162,"")</f>
        <v>2249</v>
      </c>
      <c r="Y162" s="5">
        <f>IF($M362=0,J362,"")</f>
        <v>6587</v>
      </c>
      <c r="Z162" s="5">
        <f>IF($M162=1,K162,"")</f>
        <v>47</v>
      </c>
      <c r="AA162">
        <f>IF($M362=0,K362,"")</f>
        <v>95</v>
      </c>
      <c r="AB162">
        <f>IF($M162=1,L162,"")</f>
        <v>3.4</v>
      </c>
      <c r="AC162">
        <f>IF($M362=0,L362,"")</f>
        <v>5.0999999999999996</v>
      </c>
    </row>
    <row r="163" spans="2:29" x14ac:dyDescent="0.3">
      <c r="B163">
        <v>292</v>
      </c>
      <c r="C163" t="s">
        <v>64</v>
      </c>
      <c r="D163">
        <v>4</v>
      </c>
      <c r="E163">
        <v>1</v>
      </c>
      <c r="F163">
        <v>4</v>
      </c>
      <c r="G163" s="5">
        <v>31420</v>
      </c>
      <c r="H163">
        <v>31</v>
      </c>
      <c r="I163" t="s">
        <v>67</v>
      </c>
      <c r="J163" s="5">
        <v>3264</v>
      </c>
      <c r="K163">
        <v>31</v>
      </c>
      <c r="L163">
        <f>'KRWSIP_Program_Baseline Data'!H164</f>
        <v>5.6</v>
      </c>
      <c r="M163">
        <v>1</v>
      </c>
      <c r="P163" s="6"/>
      <c r="V163" s="5">
        <f>IF($M163=1,G163,"")</f>
        <v>31420</v>
      </c>
      <c r="W163" s="5">
        <f>IF($M363=0, G363,"")</f>
        <v>32352</v>
      </c>
      <c r="X163" s="5">
        <f>IF($M163=1,J163,"")</f>
        <v>3264</v>
      </c>
      <c r="Y163" s="5">
        <f>IF($M363=0,J363,"")</f>
        <v>3695</v>
      </c>
      <c r="Z163" s="5">
        <f>IF($M163=1,K163,"")</f>
        <v>31</v>
      </c>
      <c r="AA163">
        <f>IF($M363=0,K363,"")</f>
        <v>57</v>
      </c>
      <c r="AB163">
        <f>IF($M163=1,L163,"")</f>
        <v>5.6</v>
      </c>
      <c r="AC163">
        <f>IF($M363=0,L363,"")</f>
        <v>6.9</v>
      </c>
    </row>
    <row r="164" spans="2:29" x14ac:dyDescent="0.3">
      <c r="B164">
        <v>152</v>
      </c>
      <c r="C164" t="s">
        <v>63</v>
      </c>
      <c r="D164">
        <v>4</v>
      </c>
      <c r="E164">
        <v>1</v>
      </c>
      <c r="F164">
        <v>4</v>
      </c>
      <c r="G164" s="5">
        <v>33489</v>
      </c>
      <c r="H164">
        <v>50</v>
      </c>
      <c r="I164" t="s">
        <v>68</v>
      </c>
      <c r="J164" s="5">
        <v>2995</v>
      </c>
      <c r="K164">
        <v>50</v>
      </c>
      <c r="L164">
        <f>'KRWSIP_Program_Baseline Data'!H165</f>
        <v>6.4</v>
      </c>
      <c r="M164">
        <v>1</v>
      </c>
      <c r="P164" s="6"/>
      <c r="V164" s="5">
        <f>IF($M164=1,G164,"")</f>
        <v>33489</v>
      </c>
      <c r="W164" s="5">
        <f>IF($M364=0, G364,"")</f>
        <v>26399</v>
      </c>
      <c r="X164" s="5">
        <f>IF($M164=1,J164,"")</f>
        <v>2995</v>
      </c>
      <c r="Y164" s="5">
        <f>IF($M364=0,J364,"")</f>
        <v>4333</v>
      </c>
      <c r="Z164" s="5">
        <f>IF($M164=1,K164,"")</f>
        <v>50</v>
      </c>
      <c r="AA164">
        <f>IF($M364=0,K364,"")</f>
        <v>88</v>
      </c>
      <c r="AB164">
        <f>IF($M164=1,L164,"")</f>
        <v>6.4</v>
      </c>
      <c r="AC164">
        <f>IF($M364=0,L364,"")</f>
        <v>1.4</v>
      </c>
    </row>
    <row r="165" spans="2:29" x14ac:dyDescent="0.3">
      <c r="B165">
        <v>77</v>
      </c>
      <c r="C165" t="s">
        <v>64</v>
      </c>
      <c r="D165">
        <v>2</v>
      </c>
      <c r="E165">
        <v>1</v>
      </c>
      <c r="F165">
        <v>2</v>
      </c>
      <c r="G165" s="5">
        <v>32316</v>
      </c>
      <c r="H165">
        <v>14</v>
      </c>
      <c r="I165" t="s">
        <v>66</v>
      </c>
      <c r="J165" s="5">
        <v>1861</v>
      </c>
      <c r="K165">
        <v>14</v>
      </c>
      <c r="L165">
        <f>'KRWSIP_Program_Baseline Data'!H166</f>
        <v>5.7</v>
      </c>
      <c r="M165">
        <v>1</v>
      </c>
      <c r="P165" s="6"/>
      <c r="V165" s="5">
        <f>IF($M165=1,G165,"")</f>
        <v>32316</v>
      </c>
      <c r="W165" s="5">
        <f>IF($M365=0, G365,"")</f>
        <v>37995</v>
      </c>
      <c r="X165" s="5">
        <f>IF($M165=1,J165,"")</f>
        <v>1861</v>
      </c>
      <c r="Y165" s="5">
        <f>IF($M365=0,J365,"")</f>
        <v>3194</v>
      </c>
      <c r="Z165" s="5">
        <f>IF($M165=1,K165,"")</f>
        <v>14</v>
      </c>
      <c r="AA165">
        <f>IF($M365=0,K365,"")</f>
        <v>40</v>
      </c>
      <c r="AB165">
        <f>IF($M165=1,L165,"")</f>
        <v>5.7</v>
      </c>
      <c r="AC165">
        <f>IF($M365=0,L365,"")</f>
        <v>9.1999999999999993</v>
      </c>
    </row>
    <row r="166" spans="2:29" x14ac:dyDescent="0.3">
      <c r="B166">
        <v>169</v>
      </c>
      <c r="C166" t="s">
        <v>62</v>
      </c>
      <c r="D166">
        <v>6</v>
      </c>
      <c r="E166">
        <v>1</v>
      </c>
      <c r="F166">
        <v>6</v>
      </c>
      <c r="G166" s="5">
        <v>31359</v>
      </c>
      <c r="H166">
        <v>25</v>
      </c>
      <c r="I166" t="s">
        <v>68</v>
      </c>
      <c r="J166" s="5">
        <v>3536</v>
      </c>
      <c r="K166">
        <v>25</v>
      </c>
      <c r="L166">
        <f>'KRWSIP_Program_Baseline Data'!H167</f>
        <v>10.3</v>
      </c>
      <c r="M166">
        <v>1</v>
      </c>
      <c r="P166" s="6"/>
      <c r="V166" s="5">
        <f>IF($M166=1,G166,"")</f>
        <v>31359</v>
      </c>
      <c r="W166" s="5">
        <f>IF($M366=0, G366,"")</f>
        <v>22307</v>
      </c>
      <c r="X166" s="5">
        <f>IF($M166=1,J166,"")</f>
        <v>3536</v>
      </c>
      <c r="Y166" s="5">
        <f>IF($M366=0,J366,"")</f>
        <v>4682</v>
      </c>
      <c r="Z166" s="5">
        <f>IF($M166=1,K166,"")</f>
        <v>25</v>
      </c>
      <c r="AA166">
        <f>IF($M366=0,K366,"")</f>
        <v>33</v>
      </c>
      <c r="AB166">
        <f>IF($M166=1,L166,"")</f>
        <v>10.3</v>
      </c>
      <c r="AC166">
        <f>IF($M366=0,L366,"")</f>
        <v>8</v>
      </c>
    </row>
    <row r="167" spans="2:29" x14ac:dyDescent="0.3">
      <c r="B167">
        <v>360</v>
      </c>
      <c r="C167" t="s">
        <v>65</v>
      </c>
      <c r="D167">
        <v>4</v>
      </c>
      <c r="E167">
        <v>1</v>
      </c>
      <c r="F167">
        <v>4</v>
      </c>
      <c r="G167" s="5">
        <v>31860</v>
      </c>
      <c r="H167">
        <v>48</v>
      </c>
      <c r="I167" t="s">
        <v>69</v>
      </c>
      <c r="J167" s="5">
        <v>3193</v>
      </c>
      <c r="K167">
        <v>48</v>
      </c>
      <c r="L167">
        <f>'KRWSIP_Program_Baseline Data'!H168</f>
        <v>3.1</v>
      </c>
      <c r="M167">
        <v>1</v>
      </c>
      <c r="P167" s="6"/>
      <c r="V167" s="5">
        <f>IF($M167=1,G167,"")</f>
        <v>31860</v>
      </c>
      <c r="W167" s="5">
        <f>IF($M367=0, G367,"")</f>
        <v>30219</v>
      </c>
      <c r="X167" s="5">
        <f>IF($M167=1,J167,"")</f>
        <v>3193</v>
      </c>
      <c r="Y167" s="5">
        <f>IF($M367=0,J367,"")</f>
        <v>2721</v>
      </c>
      <c r="Z167" s="5">
        <f>IF($M167=1,K167,"")</f>
        <v>48</v>
      </c>
      <c r="AA167">
        <f>IF($M367=0,K367,"")</f>
        <v>56</v>
      </c>
      <c r="AB167">
        <f>IF($M167=1,L167,"")</f>
        <v>3.1</v>
      </c>
      <c r="AC167">
        <f>IF($M367=0,L367,"")</f>
        <v>1.3</v>
      </c>
    </row>
    <row r="168" spans="2:29" x14ac:dyDescent="0.3">
      <c r="B168">
        <v>101</v>
      </c>
      <c r="C168" t="s">
        <v>64</v>
      </c>
      <c r="D168">
        <v>5</v>
      </c>
      <c r="E168">
        <v>1</v>
      </c>
      <c r="F168">
        <v>5</v>
      </c>
      <c r="G168" s="5">
        <v>34057</v>
      </c>
      <c r="H168">
        <v>13</v>
      </c>
      <c r="I168" t="s">
        <v>66</v>
      </c>
      <c r="J168" s="5">
        <v>3970</v>
      </c>
      <c r="K168">
        <v>13</v>
      </c>
      <c r="L168">
        <f>'KRWSIP_Program_Baseline Data'!H169</f>
        <v>14.5</v>
      </c>
      <c r="M168">
        <v>1</v>
      </c>
      <c r="P168" s="6"/>
      <c r="V168" s="5">
        <f>IF($M168=1,G168,"")</f>
        <v>34057</v>
      </c>
      <c r="W168" s="5">
        <f>IF($M368=0, G368,"")</f>
        <v>31220</v>
      </c>
      <c r="X168" s="5">
        <f>IF($M168=1,J168,"")</f>
        <v>3970</v>
      </c>
      <c r="Y168" s="5">
        <f>IF($M368=0,J368,"")</f>
        <v>4583</v>
      </c>
      <c r="Z168" s="5">
        <f>IF($M168=1,K168,"")</f>
        <v>13</v>
      </c>
      <c r="AA168">
        <f>IF($M368=0,K368,"")</f>
        <v>55</v>
      </c>
      <c r="AB168">
        <f>IF($M168=1,L168,"")</f>
        <v>14.5</v>
      </c>
      <c r="AC168">
        <f>IF($M368=0,L368,"")</f>
        <v>10.9</v>
      </c>
    </row>
    <row r="169" spans="2:29" x14ac:dyDescent="0.3">
      <c r="B169">
        <v>339</v>
      </c>
      <c r="C169" t="s">
        <v>62</v>
      </c>
      <c r="D169">
        <v>2</v>
      </c>
      <c r="E169">
        <v>1</v>
      </c>
      <c r="F169">
        <v>2</v>
      </c>
      <c r="G169" s="5">
        <v>24879</v>
      </c>
      <c r="H169">
        <v>24</v>
      </c>
      <c r="I169" t="s">
        <v>67</v>
      </c>
      <c r="J169" s="5">
        <v>1982</v>
      </c>
      <c r="K169">
        <v>24</v>
      </c>
      <c r="L169">
        <f>'KRWSIP_Program_Baseline Data'!H170</f>
        <v>6.3</v>
      </c>
      <c r="M169">
        <v>1</v>
      </c>
      <c r="P169" s="6"/>
      <c r="V169" s="5">
        <f>IF($M169=1,G169,"")</f>
        <v>24879</v>
      </c>
      <c r="W169" s="5">
        <f>IF($M369=0, G369,"")</f>
        <v>24882</v>
      </c>
      <c r="X169" s="5">
        <f>IF($M169=1,J169,"")</f>
        <v>1982</v>
      </c>
      <c r="Y169" s="5">
        <f>IF($M369=0,J369,"")</f>
        <v>4923</v>
      </c>
      <c r="Z169" s="5">
        <f>IF($M169=1,K169,"")</f>
        <v>24</v>
      </c>
      <c r="AA169">
        <f>IF($M369=0,K369,"")</f>
        <v>113</v>
      </c>
      <c r="AB169">
        <f>IF($M169=1,L169,"")</f>
        <v>6.3</v>
      </c>
      <c r="AC169">
        <f>IF($M369=0,L369,"")</f>
        <v>10.5</v>
      </c>
    </row>
    <row r="170" spans="2:29" x14ac:dyDescent="0.3">
      <c r="B170">
        <v>168</v>
      </c>
      <c r="C170" t="s">
        <v>62</v>
      </c>
      <c r="D170">
        <v>6</v>
      </c>
      <c r="E170">
        <v>1</v>
      </c>
      <c r="F170">
        <v>6</v>
      </c>
      <c r="G170" s="5">
        <v>31713</v>
      </c>
      <c r="H170">
        <v>29</v>
      </c>
      <c r="I170" t="s">
        <v>67</v>
      </c>
      <c r="J170" s="5">
        <v>4307</v>
      </c>
      <c r="K170">
        <v>29</v>
      </c>
      <c r="L170">
        <f>'KRWSIP_Program_Baseline Data'!H171</f>
        <v>2.7</v>
      </c>
      <c r="M170">
        <v>1</v>
      </c>
      <c r="P170" s="6"/>
      <c r="V170" s="5">
        <f>IF($M170=1,G170,"")</f>
        <v>31713</v>
      </c>
      <c r="W170" s="5">
        <f>IF($M370=0, G370,"")</f>
        <v>25813</v>
      </c>
      <c r="X170" s="5">
        <f>IF($M170=1,J170,"")</f>
        <v>4307</v>
      </c>
      <c r="Y170" s="5">
        <f>IF($M370=0,J370,"")</f>
        <v>4588</v>
      </c>
      <c r="Z170" s="5">
        <f>IF($M170=1,K170,"")</f>
        <v>29</v>
      </c>
      <c r="AA170">
        <f>IF($M370=0,K370,"")</f>
        <v>98</v>
      </c>
      <c r="AB170">
        <f>IF($M170=1,L170,"")</f>
        <v>2.7</v>
      </c>
      <c r="AC170">
        <f>IF($M370=0,L370,"")</f>
        <v>7.3</v>
      </c>
    </row>
    <row r="171" spans="2:29" x14ac:dyDescent="0.3">
      <c r="B171">
        <v>116</v>
      </c>
      <c r="C171" t="s">
        <v>65</v>
      </c>
      <c r="D171">
        <v>5</v>
      </c>
      <c r="E171">
        <v>1</v>
      </c>
      <c r="F171">
        <v>5</v>
      </c>
      <c r="G171" s="5">
        <v>40739</v>
      </c>
      <c r="H171">
        <v>16</v>
      </c>
      <c r="I171" t="s">
        <v>69</v>
      </c>
      <c r="J171" s="5">
        <v>3867</v>
      </c>
      <c r="K171">
        <v>16</v>
      </c>
      <c r="L171">
        <f>'KRWSIP_Program_Baseline Data'!H172</f>
        <v>4</v>
      </c>
      <c r="M171">
        <v>1</v>
      </c>
      <c r="P171" s="6"/>
      <c r="V171" s="5">
        <f>IF($M171=1,G171,"")</f>
        <v>40739</v>
      </c>
      <c r="W171" s="5">
        <f>IF($M371=0, G371,"")</f>
        <v>32858</v>
      </c>
      <c r="X171" s="5">
        <f>IF($M171=1,J171,"")</f>
        <v>3867</v>
      </c>
      <c r="Y171" s="5">
        <f>IF($M371=0,J371,"")</f>
        <v>6616</v>
      </c>
      <c r="Z171" s="5">
        <f>IF($M171=1,K171,"")</f>
        <v>16</v>
      </c>
      <c r="AA171">
        <f>IF($M371=0,K371,"")</f>
        <v>98</v>
      </c>
      <c r="AB171">
        <f>IF($M171=1,L171,"")</f>
        <v>4</v>
      </c>
      <c r="AC171">
        <f>IF($M371=0,L371,"")</f>
        <v>1.7</v>
      </c>
    </row>
    <row r="172" spans="2:29" x14ac:dyDescent="0.3">
      <c r="B172">
        <v>212</v>
      </c>
      <c r="C172" t="s">
        <v>65</v>
      </c>
      <c r="D172">
        <v>2</v>
      </c>
      <c r="E172">
        <v>1</v>
      </c>
      <c r="F172">
        <v>2</v>
      </c>
      <c r="G172" s="5">
        <v>8197</v>
      </c>
      <c r="H172">
        <v>19</v>
      </c>
      <c r="I172" t="s">
        <v>68</v>
      </c>
      <c r="J172" s="5">
        <v>3101</v>
      </c>
      <c r="K172">
        <v>19</v>
      </c>
      <c r="L172">
        <f>'KRWSIP_Program_Baseline Data'!H173</f>
        <v>7.8</v>
      </c>
      <c r="M172">
        <v>1</v>
      </c>
      <c r="P172" s="6"/>
      <c r="V172" s="5">
        <f>IF($M172=1,G172,"")</f>
        <v>8197</v>
      </c>
      <c r="W172" s="5">
        <f>IF($M372=0, G372,"")</f>
        <v>34289</v>
      </c>
      <c r="X172" s="5">
        <f>IF($M172=1,J172,"")</f>
        <v>3101</v>
      </c>
      <c r="Y172" s="5">
        <f>IF($M372=0,J372,"")</f>
        <v>3941</v>
      </c>
      <c r="Z172" s="5">
        <f>IF($M172=1,K172,"")</f>
        <v>19</v>
      </c>
      <c r="AA172">
        <f>IF($M372=0,K372,"")</f>
        <v>20</v>
      </c>
      <c r="AB172">
        <f>IF($M172=1,L172,"")</f>
        <v>7.8</v>
      </c>
      <c r="AC172">
        <f>IF($M372=0,L372,"")</f>
        <v>2.6</v>
      </c>
    </row>
    <row r="173" spans="2:29" x14ac:dyDescent="0.3">
      <c r="B173">
        <v>189</v>
      </c>
      <c r="C173" t="s">
        <v>64</v>
      </c>
      <c r="D173">
        <v>3</v>
      </c>
      <c r="E173">
        <v>1</v>
      </c>
      <c r="F173">
        <v>3</v>
      </c>
      <c r="G173" s="5">
        <v>35487</v>
      </c>
      <c r="H173">
        <v>24</v>
      </c>
      <c r="I173" t="s">
        <v>69</v>
      </c>
      <c r="J173" s="5">
        <v>2973</v>
      </c>
      <c r="K173">
        <v>24</v>
      </c>
      <c r="L173">
        <f>'KRWSIP_Program_Baseline Data'!H174</f>
        <v>3</v>
      </c>
      <c r="M173">
        <v>1</v>
      </c>
      <c r="P173" s="6"/>
      <c r="V173" s="5">
        <f>IF($M173=1,G173,"")</f>
        <v>35487</v>
      </c>
      <c r="W173" s="5">
        <f>IF($M373=0, G373,"")</f>
        <v>31559</v>
      </c>
      <c r="X173" s="5">
        <f>IF($M173=1,J173,"")</f>
        <v>2973</v>
      </c>
      <c r="Y173" s="5">
        <f>IF($M373=0,J373,"")</f>
        <v>5588</v>
      </c>
      <c r="Z173" s="5">
        <f>IF($M173=1,K173,"")</f>
        <v>24</v>
      </c>
      <c r="AA173">
        <f>IF($M373=0,K373,"")</f>
        <v>29</v>
      </c>
      <c r="AB173">
        <f>IF($M173=1,L173,"")</f>
        <v>3</v>
      </c>
      <c r="AC173">
        <f>IF($M373=0,L373,"")</f>
        <v>10.9</v>
      </c>
    </row>
    <row r="174" spans="2:29" x14ac:dyDescent="0.3">
      <c r="B174">
        <v>109</v>
      </c>
      <c r="C174" t="s">
        <v>63</v>
      </c>
      <c r="D174">
        <v>8</v>
      </c>
      <c r="E174">
        <v>1</v>
      </c>
      <c r="F174">
        <v>8</v>
      </c>
      <c r="G174" s="5">
        <v>35873</v>
      </c>
      <c r="H174">
        <v>44</v>
      </c>
      <c r="I174" t="s">
        <v>68</v>
      </c>
      <c r="J174" s="5">
        <v>3191</v>
      </c>
      <c r="K174">
        <v>44</v>
      </c>
      <c r="L174">
        <f>'KRWSIP_Program_Baseline Data'!H175</f>
        <v>11.6</v>
      </c>
      <c r="M174">
        <v>1</v>
      </c>
      <c r="P174" s="6"/>
      <c r="V174" s="5">
        <f>IF($M174=1,G174,"")</f>
        <v>35873</v>
      </c>
      <c r="W174" s="5">
        <f>IF($M374=0, G374,"")</f>
        <v>35539</v>
      </c>
      <c r="X174" s="5">
        <f>IF($M174=1,J174,"")</f>
        <v>3191</v>
      </c>
      <c r="Y174" s="5">
        <f>IF($M374=0,J374,"")</f>
        <v>3321</v>
      </c>
      <c r="Z174" s="5">
        <f>IF($M174=1,K174,"")</f>
        <v>44</v>
      </c>
      <c r="AA174">
        <f>IF($M374=0,K374,"")</f>
        <v>47</v>
      </c>
      <c r="AB174">
        <f>IF($M174=1,L174,"")</f>
        <v>11.6</v>
      </c>
      <c r="AC174">
        <f>IF($M374=0,L374,"")</f>
        <v>6.7</v>
      </c>
    </row>
    <row r="175" spans="2:29" x14ac:dyDescent="0.3">
      <c r="B175">
        <v>67</v>
      </c>
      <c r="C175" t="s">
        <v>62</v>
      </c>
      <c r="D175">
        <v>6</v>
      </c>
      <c r="E175">
        <v>1</v>
      </c>
      <c r="F175">
        <v>6</v>
      </c>
      <c r="G175" s="5">
        <v>39641</v>
      </c>
      <c r="H175">
        <v>22</v>
      </c>
      <c r="I175" t="s">
        <v>66</v>
      </c>
      <c r="J175" s="5">
        <v>2978</v>
      </c>
      <c r="K175">
        <v>22</v>
      </c>
      <c r="L175">
        <f>'KRWSIP_Program_Baseline Data'!H176</f>
        <v>14.4</v>
      </c>
      <c r="M175">
        <v>1</v>
      </c>
      <c r="P175" s="6"/>
      <c r="V175" s="5">
        <f>IF($M175=1,G175,"")</f>
        <v>39641</v>
      </c>
      <c r="W175" s="5">
        <f>IF($M375=0, G375,"")</f>
        <v>28300</v>
      </c>
      <c r="X175" s="5">
        <f>IF($M175=1,J175,"")</f>
        <v>2978</v>
      </c>
      <c r="Y175" s="5">
        <f>IF($M375=0,J375,"")</f>
        <v>5935</v>
      </c>
      <c r="Z175" s="5">
        <f>IF($M175=1,K175,"")</f>
        <v>22</v>
      </c>
      <c r="AA175">
        <f>IF($M375=0,K375,"")</f>
        <v>90</v>
      </c>
      <c r="AB175">
        <f>IF($M175=1,L175,"")</f>
        <v>14.4</v>
      </c>
      <c r="AC175">
        <f>IF($M375=0,L375,"")</f>
        <v>8.5</v>
      </c>
    </row>
    <row r="176" spans="2:29" x14ac:dyDescent="0.3">
      <c r="B176">
        <v>84</v>
      </c>
      <c r="C176" t="s">
        <v>64</v>
      </c>
      <c r="D176">
        <v>2</v>
      </c>
      <c r="E176">
        <v>1</v>
      </c>
      <c r="F176">
        <v>2</v>
      </c>
      <c r="G176" s="5">
        <v>40193</v>
      </c>
      <c r="H176">
        <v>15</v>
      </c>
      <c r="I176" t="s">
        <v>69</v>
      </c>
      <c r="J176" s="5">
        <v>3286</v>
      </c>
      <c r="K176">
        <v>15</v>
      </c>
      <c r="L176">
        <f>'KRWSIP_Program_Baseline Data'!H177</f>
        <v>8.5</v>
      </c>
      <c r="M176">
        <v>1</v>
      </c>
      <c r="P176" s="6"/>
      <c r="V176" s="5">
        <f>IF($M176=1,G176,"")</f>
        <v>40193</v>
      </c>
      <c r="W176" s="5">
        <f>IF($M376=0, G376,"")</f>
        <v>34234</v>
      </c>
      <c r="X176" s="5">
        <f>IF($M176=1,J176,"")</f>
        <v>3286</v>
      </c>
      <c r="Y176" s="5">
        <f>IF($M376=0,J376,"")</f>
        <v>3989</v>
      </c>
      <c r="Z176" s="5">
        <f>IF($M176=1,K176,"")</f>
        <v>15</v>
      </c>
      <c r="AA176">
        <f>IF($M376=0,K376,"")</f>
        <v>92</v>
      </c>
      <c r="AB176">
        <f>IF($M176=1,L176,"")</f>
        <v>8.5</v>
      </c>
      <c r="AC176">
        <f>IF($M376=0,L376,"")</f>
        <v>11.8</v>
      </c>
    </row>
    <row r="177" spans="2:29" x14ac:dyDescent="0.3">
      <c r="B177">
        <v>363</v>
      </c>
      <c r="C177" t="s">
        <v>65</v>
      </c>
      <c r="D177">
        <v>2</v>
      </c>
      <c r="E177">
        <v>1</v>
      </c>
      <c r="F177">
        <v>2</v>
      </c>
      <c r="G177" s="5">
        <v>24837</v>
      </c>
      <c r="H177">
        <v>10</v>
      </c>
      <c r="I177" t="s">
        <v>67</v>
      </c>
      <c r="J177" s="5">
        <v>3155</v>
      </c>
      <c r="K177">
        <v>10</v>
      </c>
      <c r="L177">
        <f>'KRWSIP_Program_Baseline Data'!H178</f>
        <v>9.8000000000000007</v>
      </c>
      <c r="M177">
        <v>1</v>
      </c>
      <c r="P177" s="6"/>
      <c r="V177" s="5">
        <f>IF($M177=1,G177,"")</f>
        <v>24837</v>
      </c>
      <c r="W177" s="5">
        <f>IF($M377=0, G377,"")</f>
        <v>26706</v>
      </c>
      <c r="X177" s="5">
        <f>IF($M177=1,J177,"")</f>
        <v>3155</v>
      </c>
      <c r="Y177" s="5">
        <f>IF($M377=0,J377,"")</f>
        <v>5836</v>
      </c>
      <c r="Z177" s="5">
        <f>IF($M177=1,K177,"")</f>
        <v>10</v>
      </c>
      <c r="AA177">
        <f>IF($M377=0,K377,"")</f>
        <v>82</v>
      </c>
      <c r="AB177">
        <f>IF($M177=1,L177,"")</f>
        <v>9.8000000000000007</v>
      </c>
      <c r="AC177">
        <f>IF($M377=0,L377,"")</f>
        <v>13.5</v>
      </c>
    </row>
    <row r="178" spans="2:29" x14ac:dyDescent="0.3">
      <c r="B178">
        <v>239</v>
      </c>
      <c r="C178" t="s">
        <v>63</v>
      </c>
      <c r="D178">
        <v>6</v>
      </c>
      <c r="E178">
        <v>1</v>
      </c>
      <c r="F178">
        <v>6</v>
      </c>
      <c r="G178" s="5">
        <v>27614</v>
      </c>
      <c r="H178">
        <v>21</v>
      </c>
      <c r="I178" t="s">
        <v>67</v>
      </c>
      <c r="J178" s="5">
        <v>2655</v>
      </c>
      <c r="K178">
        <v>21</v>
      </c>
      <c r="L178">
        <f>'KRWSIP_Program_Baseline Data'!H179</f>
        <v>5.2</v>
      </c>
      <c r="M178">
        <v>1</v>
      </c>
      <c r="P178" s="6"/>
      <c r="V178" s="5">
        <f>IF($M178=1,G178,"")</f>
        <v>27614</v>
      </c>
      <c r="W178" s="5">
        <f>IF($M378=0, G378,"")</f>
        <v>25900</v>
      </c>
      <c r="X178" s="5">
        <f>IF($M178=1,J178,"")</f>
        <v>2655</v>
      </c>
      <c r="Y178" s="5">
        <f>IF($M378=0,J378,"")</f>
        <v>2888</v>
      </c>
      <c r="Z178" s="5">
        <f>IF($M178=1,K178,"")</f>
        <v>21</v>
      </c>
      <c r="AA178">
        <f>IF($M378=0,K378,"")</f>
        <v>78</v>
      </c>
      <c r="AB178">
        <f>IF($M178=1,L178,"")</f>
        <v>5.2</v>
      </c>
      <c r="AC178">
        <f>IF($M378=0,L378,"")</f>
        <v>10.8</v>
      </c>
    </row>
    <row r="179" spans="2:29" x14ac:dyDescent="0.3">
      <c r="B179">
        <v>309</v>
      </c>
      <c r="C179" t="s">
        <v>65</v>
      </c>
      <c r="D179">
        <v>8</v>
      </c>
      <c r="E179">
        <v>1</v>
      </c>
      <c r="F179">
        <v>8</v>
      </c>
      <c r="G179" s="5">
        <v>22978</v>
      </c>
      <c r="H179">
        <v>15</v>
      </c>
      <c r="I179" t="s">
        <v>69</v>
      </c>
      <c r="J179" s="5">
        <v>4305</v>
      </c>
      <c r="K179">
        <v>15</v>
      </c>
      <c r="L179">
        <f>'KRWSIP_Program_Baseline Data'!H180</f>
        <v>1.5</v>
      </c>
      <c r="M179">
        <v>1</v>
      </c>
      <c r="P179" s="6"/>
      <c r="V179" s="5">
        <f>IF($M179=1,G179,"")</f>
        <v>22978</v>
      </c>
      <c r="W179" s="5">
        <f>IF($M379=0, G379,"")</f>
        <v>37188</v>
      </c>
      <c r="X179" s="5">
        <f>IF($M179=1,J179,"")</f>
        <v>4305</v>
      </c>
      <c r="Y179" s="5">
        <f>IF($M379=0,J379,"")</f>
        <v>3505</v>
      </c>
      <c r="Z179" s="5">
        <f>IF($M179=1,K179,"")</f>
        <v>15</v>
      </c>
      <c r="AA179">
        <f>IF($M379=0,K379,"")</f>
        <v>19</v>
      </c>
      <c r="AB179">
        <f>IF($M179=1,L179,"")</f>
        <v>1.5</v>
      </c>
      <c r="AC179">
        <f>IF($M379=0,L379,"")</f>
        <v>13.9</v>
      </c>
    </row>
    <row r="180" spans="2:29" x14ac:dyDescent="0.3">
      <c r="B180">
        <v>140</v>
      </c>
      <c r="C180" t="s">
        <v>64</v>
      </c>
      <c r="D180">
        <v>5</v>
      </c>
      <c r="E180">
        <v>1</v>
      </c>
      <c r="F180">
        <v>5</v>
      </c>
      <c r="G180" s="5">
        <v>24462</v>
      </c>
      <c r="H180">
        <v>48</v>
      </c>
      <c r="I180" t="s">
        <v>66</v>
      </c>
      <c r="J180" s="5">
        <v>2827</v>
      </c>
      <c r="K180">
        <v>48</v>
      </c>
      <c r="L180">
        <f>'KRWSIP_Program_Baseline Data'!H181</f>
        <v>12.1</v>
      </c>
      <c r="M180">
        <v>1</v>
      </c>
      <c r="P180" s="6"/>
      <c r="V180" s="5">
        <f>IF($M180=1,G180,"")</f>
        <v>24462</v>
      </c>
      <c r="W180" s="5">
        <f>IF($M380=0, G380,"")</f>
        <v>25534</v>
      </c>
      <c r="X180" s="5">
        <f>IF($M180=1,J180,"")</f>
        <v>2827</v>
      </c>
      <c r="Y180" s="5">
        <f>IF($M380=0,J380,"")</f>
        <v>4840</v>
      </c>
      <c r="Z180" s="5">
        <f>IF($M180=1,K180,"")</f>
        <v>48</v>
      </c>
      <c r="AA180">
        <f>IF($M380=0,K380,"")</f>
        <v>54</v>
      </c>
      <c r="AB180">
        <f>IF($M180=1,L180,"")</f>
        <v>12.1</v>
      </c>
      <c r="AC180">
        <f>IF($M380=0,L380,"")</f>
        <v>0.6</v>
      </c>
    </row>
    <row r="181" spans="2:29" x14ac:dyDescent="0.3">
      <c r="B181">
        <v>244</v>
      </c>
      <c r="C181" t="s">
        <v>62</v>
      </c>
      <c r="D181">
        <v>7</v>
      </c>
      <c r="E181">
        <v>1</v>
      </c>
      <c r="F181">
        <v>7</v>
      </c>
      <c r="G181" s="5">
        <v>27767</v>
      </c>
      <c r="H181">
        <v>45</v>
      </c>
      <c r="I181" t="s">
        <v>68</v>
      </c>
      <c r="J181" s="5">
        <v>3525</v>
      </c>
      <c r="K181">
        <v>45</v>
      </c>
      <c r="L181">
        <f>'KRWSIP_Program_Baseline Data'!H182</f>
        <v>8.5</v>
      </c>
      <c r="M181">
        <v>1</v>
      </c>
      <c r="P181" s="6"/>
      <c r="V181" s="5">
        <f>IF($M181=1,G181,"")</f>
        <v>27767</v>
      </c>
      <c r="W181" s="5">
        <f>IF($M381=0, G381,"")</f>
        <v>15349</v>
      </c>
      <c r="X181" s="5">
        <f>IF($M181=1,J181,"")</f>
        <v>3525</v>
      </c>
      <c r="Y181" s="5">
        <f>IF($M381=0,J381,"")</f>
        <v>4711</v>
      </c>
      <c r="Z181" s="5">
        <f>IF($M181=1,K181,"")</f>
        <v>45</v>
      </c>
      <c r="AA181">
        <f>IF($M381=0,K381,"")</f>
        <v>81</v>
      </c>
      <c r="AB181">
        <f>IF($M181=1,L181,"")</f>
        <v>8.5</v>
      </c>
      <c r="AC181">
        <f>IF($M381=0,L381,"")</f>
        <v>8</v>
      </c>
    </row>
    <row r="182" spans="2:29" x14ac:dyDescent="0.3">
      <c r="B182">
        <v>63</v>
      </c>
      <c r="C182" t="s">
        <v>62</v>
      </c>
      <c r="D182">
        <v>2</v>
      </c>
      <c r="E182">
        <v>1</v>
      </c>
      <c r="F182">
        <v>2</v>
      </c>
      <c r="G182" s="5">
        <v>46188</v>
      </c>
      <c r="H182">
        <v>41</v>
      </c>
      <c r="I182" t="s">
        <v>69</v>
      </c>
      <c r="J182" s="5">
        <v>2308</v>
      </c>
      <c r="K182">
        <v>41</v>
      </c>
      <c r="L182">
        <f>'KRWSIP_Program_Baseline Data'!H183</f>
        <v>4.2</v>
      </c>
      <c r="M182">
        <v>1</v>
      </c>
      <c r="P182" s="6"/>
      <c r="V182" s="5">
        <f>IF($M182=1,G182,"")</f>
        <v>46188</v>
      </c>
      <c r="W182" s="5">
        <f>IF($M382=0, G382,"")</f>
        <v>28502</v>
      </c>
      <c r="X182" s="5">
        <f>IF($M182=1,J182,"")</f>
        <v>2308</v>
      </c>
      <c r="Y182" s="5">
        <f>IF($M382=0,J382,"")</f>
        <v>4190</v>
      </c>
      <c r="Z182" s="5">
        <f>IF($M182=1,K182,"")</f>
        <v>41</v>
      </c>
      <c r="AA182">
        <f>IF($M382=0,K382,"")</f>
        <v>100</v>
      </c>
      <c r="AB182">
        <f>IF($M182=1,L182,"")</f>
        <v>4.2</v>
      </c>
      <c r="AC182">
        <f>IF($M382=0,L382,"")</f>
        <v>6.3</v>
      </c>
    </row>
    <row r="183" spans="2:29" x14ac:dyDescent="0.3">
      <c r="B183">
        <v>400</v>
      </c>
      <c r="C183" t="s">
        <v>65</v>
      </c>
      <c r="D183">
        <v>5</v>
      </c>
      <c r="E183">
        <v>1</v>
      </c>
      <c r="F183">
        <v>5</v>
      </c>
      <c r="G183" s="5">
        <v>32265</v>
      </c>
      <c r="H183">
        <v>39</v>
      </c>
      <c r="I183" t="s">
        <v>68</v>
      </c>
      <c r="J183" s="5">
        <v>3472</v>
      </c>
      <c r="K183">
        <v>39</v>
      </c>
      <c r="L183">
        <f>'KRWSIP_Program_Baseline Data'!H184</f>
        <v>8.6</v>
      </c>
      <c r="M183">
        <v>1</v>
      </c>
      <c r="P183" s="6"/>
      <c r="V183" s="5">
        <f>IF($M183=1,G183,"")</f>
        <v>32265</v>
      </c>
      <c r="W183" s="5">
        <f>IF($M383=0, G383,"")</f>
        <v>27897</v>
      </c>
      <c r="X183" s="5">
        <f>IF($M183=1,J183,"")</f>
        <v>3472</v>
      </c>
      <c r="Y183" s="5">
        <f>IF($M383=0,J383,"")</f>
        <v>5891</v>
      </c>
      <c r="Z183" s="5">
        <f>IF($M183=1,K183,"")</f>
        <v>39</v>
      </c>
      <c r="AA183">
        <f>IF($M383=0,K383,"")</f>
        <v>59</v>
      </c>
      <c r="AB183">
        <f>IF($M183=1,L183,"")</f>
        <v>8.6</v>
      </c>
      <c r="AC183">
        <f>IF($M383=0,L383,"")</f>
        <v>7</v>
      </c>
    </row>
    <row r="184" spans="2:29" x14ac:dyDescent="0.3">
      <c r="B184">
        <v>89</v>
      </c>
      <c r="C184" t="s">
        <v>65</v>
      </c>
      <c r="D184">
        <v>4</v>
      </c>
      <c r="E184">
        <v>1</v>
      </c>
      <c r="F184">
        <v>4</v>
      </c>
      <c r="G184" s="5">
        <v>27999</v>
      </c>
      <c r="H184">
        <v>19</v>
      </c>
      <c r="I184" t="s">
        <v>69</v>
      </c>
      <c r="J184" s="5">
        <v>2521</v>
      </c>
      <c r="K184">
        <v>19</v>
      </c>
      <c r="L184">
        <f>'KRWSIP_Program_Baseline Data'!H185</f>
        <v>11.9</v>
      </c>
      <c r="M184">
        <v>1</v>
      </c>
      <c r="P184" s="6"/>
      <c r="V184" s="5">
        <f>IF($M184=1,G184,"")</f>
        <v>27999</v>
      </c>
      <c r="W184" s="5">
        <f>IF($M384=0, G384,"")</f>
        <v>18940</v>
      </c>
      <c r="X184" s="5">
        <f>IF($M184=1,J184,"")</f>
        <v>2521</v>
      </c>
      <c r="Y184" s="5">
        <f>IF($M384=0,J384,"")</f>
        <v>3573</v>
      </c>
      <c r="Z184" s="5">
        <f>IF($M184=1,K184,"")</f>
        <v>19</v>
      </c>
      <c r="AA184">
        <f>IF($M384=0,K384,"")</f>
        <v>74</v>
      </c>
      <c r="AB184">
        <f>IF($M184=1,L184,"")</f>
        <v>11.9</v>
      </c>
      <c r="AC184">
        <f>IF($M384=0,L384,"")</f>
        <v>14.2</v>
      </c>
    </row>
    <row r="185" spans="2:29" x14ac:dyDescent="0.3">
      <c r="B185">
        <v>215</v>
      </c>
      <c r="C185" t="s">
        <v>62</v>
      </c>
      <c r="D185">
        <v>8</v>
      </c>
      <c r="E185">
        <v>1</v>
      </c>
      <c r="F185">
        <v>8</v>
      </c>
      <c r="G185" s="5">
        <v>26572</v>
      </c>
      <c r="H185">
        <v>43</v>
      </c>
      <c r="I185" t="s">
        <v>67</v>
      </c>
      <c r="J185" s="5">
        <v>3541</v>
      </c>
      <c r="K185">
        <v>43</v>
      </c>
      <c r="L185">
        <f>'KRWSIP_Program_Baseline Data'!H186</f>
        <v>1.4</v>
      </c>
      <c r="M185">
        <v>1</v>
      </c>
      <c r="P185" s="6"/>
      <c r="V185" s="5">
        <f>IF($M185=1,G185,"")</f>
        <v>26572</v>
      </c>
      <c r="W185" s="5">
        <f>IF($M385=0, G385,"")</f>
        <v>28813</v>
      </c>
      <c r="X185" s="5">
        <f>IF($M185=1,J185,"")</f>
        <v>3541</v>
      </c>
      <c r="Y185" s="5">
        <f>IF($M385=0,J385,"")</f>
        <v>3649</v>
      </c>
      <c r="Z185" s="5">
        <f>IF($M185=1,K185,"")</f>
        <v>43</v>
      </c>
      <c r="AA185">
        <f>IF($M385=0,K385,"")</f>
        <v>81</v>
      </c>
      <c r="AB185">
        <f>IF($M185=1,L185,"")</f>
        <v>1.4</v>
      </c>
      <c r="AC185">
        <f>IF($M385=0,L385,"")</f>
        <v>1.4</v>
      </c>
    </row>
    <row r="186" spans="2:29" x14ac:dyDescent="0.3">
      <c r="B186">
        <v>222</v>
      </c>
      <c r="C186" t="s">
        <v>64</v>
      </c>
      <c r="D186">
        <v>6</v>
      </c>
      <c r="E186">
        <v>1</v>
      </c>
      <c r="F186">
        <v>6</v>
      </c>
      <c r="G186" s="5">
        <v>34448</v>
      </c>
      <c r="H186">
        <v>7</v>
      </c>
      <c r="I186" t="s">
        <v>68</v>
      </c>
      <c r="J186" s="5">
        <v>2876</v>
      </c>
      <c r="K186">
        <v>7</v>
      </c>
      <c r="L186">
        <f>'KRWSIP_Program_Baseline Data'!H187</f>
        <v>10.6</v>
      </c>
      <c r="M186">
        <v>1</v>
      </c>
      <c r="P186" s="6"/>
      <c r="V186" s="5">
        <f>IF($M186=1,G186,"")</f>
        <v>34448</v>
      </c>
      <c r="W186" s="5">
        <f>IF($M386=0, G386,"")</f>
        <v>28779</v>
      </c>
      <c r="X186" s="5">
        <f>IF($M186=1,J186,"")</f>
        <v>2876</v>
      </c>
      <c r="Y186" s="5">
        <f>IF($M386=0,J386,"")</f>
        <v>4675</v>
      </c>
      <c r="Z186" s="5">
        <f>IF($M186=1,K186,"")</f>
        <v>7</v>
      </c>
      <c r="AA186">
        <f>IF($M386=0,K386,"")</f>
        <v>106</v>
      </c>
      <c r="AB186">
        <f>IF($M186=1,L186,"")</f>
        <v>10.6</v>
      </c>
      <c r="AC186">
        <f>IF($M386=0,L386,"")</f>
        <v>0.7</v>
      </c>
    </row>
    <row r="187" spans="2:29" x14ac:dyDescent="0.3">
      <c r="B187">
        <v>119</v>
      </c>
      <c r="C187" t="s">
        <v>64</v>
      </c>
      <c r="D187">
        <v>6</v>
      </c>
      <c r="E187">
        <v>1</v>
      </c>
      <c r="F187">
        <v>6</v>
      </c>
      <c r="G187" s="5">
        <v>46606</v>
      </c>
      <c r="H187">
        <v>23</v>
      </c>
      <c r="I187" t="s">
        <v>68</v>
      </c>
      <c r="J187" s="5">
        <v>2919</v>
      </c>
      <c r="K187">
        <v>23</v>
      </c>
      <c r="L187">
        <f>'KRWSIP_Program_Baseline Data'!H188</f>
        <v>2.1</v>
      </c>
      <c r="M187">
        <v>1</v>
      </c>
      <c r="P187" s="6"/>
      <c r="V187" s="5">
        <f>IF($M187=1,G187,"")</f>
        <v>46606</v>
      </c>
      <c r="W187" s="5">
        <f>IF($M387=0, G387,"")</f>
        <v>15597</v>
      </c>
      <c r="X187" s="5">
        <f>IF($M187=1,J187,"")</f>
        <v>2919</v>
      </c>
      <c r="Y187" s="5">
        <f>IF($M387=0,J387,"")</f>
        <v>2638</v>
      </c>
      <c r="Z187" s="5">
        <f>IF($M187=1,K187,"")</f>
        <v>23</v>
      </c>
      <c r="AA187">
        <f>IF($M387=0,K387,"")</f>
        <v>97</v>
      </c>
      <c r="AB187">
        <f>IF($M187=1,L187,"")</f>
        <v>2.1</v>
      </c>
      <c r="AC187">
        <f>IF($M387=0,L387,"")</f>
        <v>10.7</v>
      </c>
    </row>
    <row r="188" spans="2:29" x14ac:dyDescent="0.3">
      <c r="B188">
        <v>356</v>
      </c>
      <c r="C188" t="s">
        <v>64</v>
      </c>
      <c r="D188">
        <v>3</v>
      </c>
      <c r="E188">
        <v>1</v>
      </c>
      <c r="F188">
        <v>3</v>
      </c>
      <c r="G188" s="5">
        <v>38903</v>
      </c>
      <c r="H188">
        <v>55</v>
      </c>
      <c r="I188" t="s">
        <v>68</v>
      </c>
      <c r="J188" s="5">
        <v>2918</v>
      </c>
      <c r="K188">
        <v>55</v>
      </c>
      <c r="L188">
        <f>'KRWSIP_Program_Baseline Data'!H189</f>
        <v>10.8</v>
      </c>
      <c r="M188">
        <v>1</v>
      </c>
      <c r="P188" s="6"/>
      <c r="V188" s="5">
        <f>IF($M188=1,G188,"")</f>
        <v>38903</v>
      </c>
      <c r="W188" s="5">
        <f>IF($M388=0, G388,"")</f>
        <v>25237</v>
      </c>
      <c r="X188" s="5">
        <f>IF($M188=1,J188,"")</f>
        <v>2918</v>
      </c>
      <c r="Y188" s="5">
        <f>IF($M388=0,J388,"")</f>
        <v>5995</v>
      </c>
      <c r="Z188" s="5">
        <f>IF($M188=1,K188,"")</f>
        <v>55</v>
      </c>
      <c r="AA188">
        <f>IF($M388=0,K388,"")</f>
        <v>67</v>
      </c>
      <c r="AB188">
        <f>IF($M188=1,L188,"")</f>
        <v>10.8</v>
      </c>
      <c r="AC188">
        <f>IF($M388=0,L388,"")</f>
        <v>11.9</v>
      </c>
    </row>
    <row r="189" spans="2:29" x14ac:dyDescent="0.3">
      <c r="B189">
        <v>231</v>
      </c>
      <c r="C189" t="s">
        <v>65</v>
      </c>
      <c r="D189">
        <v>5</v>
      </c>
      <c r="E189">
        <v>1</v>
      </c>
      <c r="F189">
        <v>5</v>
      </c>
      <c r="G189" s="5">
        <v>28107</v>
      </c>
      <c r="H189">
        <v>42</v>
      </c>
      <c r="I189" t="s">
        <v>69</v>
      </c>
      <c r="J189" s="5">
        <v>3026</v>
      </c>
      <c r="K189">
        <v>42</v>
      </c>
      <c r="L189">
        <f>'KRWSIP_Program_Baseline Data'!H190</f>
        <v>12.1</v>
      </c>
      <c r="M189">
        <v>1</v>
      </c>
      <c r="P189" s="6"/>
      <c r="V189" s="5">
        <f>IF($M189=1,G189,"")</f>
        <v>28107</v>
      </c>
      <c r="W189" s="5">
        <f>IF($M389=0, G389,"")</f>
        <v>20136</v>
      </c>
      <c r="X189" s="5">
        <f>IF($M189=1,J189,"")</f>
        <v>3026</v>
      </c>
      <c r="Y189" s="5">
        <f>IF($M389=0,J389,"")</f>
        <v>5863</v>
      </c>
      <c r="Z189" s="5">
        <f>IF($M189=1,K189,"")</f>
        <v>42</v>
      </c>
      <c r="AA189">
        <f>IF($M389=0,K389,"")</f>
        <v>71</v>
      </c>
      <c r="AB189">
        <f>IF($M189=1,L189,"")</f>
        <v>12.1</v>
      </c>
      <c r="AC189">
        <f>IF($M389=0,L389,"")</f>
        <v>4.7</v>
      </c>
    </row>
    <row r="190" spans="2:29" x14ac:dyDescent="0.3">
      <c r="B190">
        <v>141</v>
      </c>
      <c r="C190" t="s">
        <v>63</v>
      </c>
      <c r="D190">
        <v>3</v>
      </c>
      <c r="E190">
        <v>1</v>
      </c>
      <c r="F190">
        <v>3</v>
      </c>
      <c r="G190" s="5">
        <v>16912</v>
      </c>
      <c r="H190">
        <v>39</v>
      </c>
      <c r="I190" t="s">
        <v>67</v>
      </c>
      <c r="J190" s="5">
        <v>2898</v>
      </c>
      <c r="K190">
        <v>39</v>
      </c>
      <c r="L190">
        <f>'KRWSIP_Program_Baseline Data'!H191</f>
        <v>4.5</v>
      </c>
      <c r="M190">
        <v>1</v>
      </c>
      <c r="P190" s="6"/>
      <c r="V190" s="5">
        <f>IF($M190=1,G190,"")</f>
        <v>16912</v>
      </c>
      <c r="W190" s="5">
        <f>IF($M390=0, G390,"")</f>
        <v>19730</v>
      </c>
      <c r="X190" s="5">
        <f>IF($M190=1,J190,"")</f>
        <v>2898</v>
      </c>
      <c r="Y190" s="5">
        <f>IF($M390=0,J390,"")</f>
        <v>5694</v>
      </c>
      <c r="Z190" s="5">
        <f>IF($M190=1,K190,"")</f>
        <v>39</v>
      </c>
      <c r="AA190">
        <f>IF($M390=0,K390,"")</f>
        <v>92</v>
      </c>
      <c r="AB190">
        <f>IF($M190=1,L190,"")</f>
        <v>4.5</v>
      </c>
      <c r="AC190">
        <f>IF($M390=0,L390,"")</f>
        <v>12.5</v>
      </c>
    </row>
    <row r="191" spans="2:29" x14ac:dyDescent="0.3">
      <c r="B191">
        <v>51</v>
      </c>
      <c r="C191" t="s">
        <v>63</v>
      </c>
      <c r="D191">
        <v>8</v>
      </c>
      <c r="E191">
        <v>1</v>
      </c>
      <c r="F191">
        <v>8</v>
      </c>
      <c r="G191" s="5">
        <v>27487</v>
      </c>
      <c r="H191">
        <v>40</v>
      </c>
      <c r="I191" t="s">
        <v>67</v>
      </c>
      <c r="J191" s="5">
        <v>3594</v>
      </c>
      <c r="K191">
        <v>40</v>
      </c>
      <c r="L191">
        <f>'KRWSIP_Program_Baseline Data'!H192</f>
        <v>12.1</v>
      </c>
      <c r="M191">
        <v>1</v>
      </c>
      <c r="P191" s="6"/>
      <c r="V191" s="5">
        <f>IF($M191=1,G191,"")</f>
        <v>27487</v>
      </c>
      <c r="W191" s="5">
        <f>IF($M391=0, G391,"")</f>
        <v>16575</v>
      </c>
      <c r="X191" s="5">
        <f>IF($M191=1,J191,"")</f>
        <v>3594</v>
      </c>
      <c r="Y191" s="5">
        <f>IF($M391=0,J391,"")</f>
        <v>5435</v>
      </c>
      <c r="Z191" s="5">
        <f>IF($M191=1,K191,"")</f>
        <v>40</v>
      </c>
      <c r="AA191">
        <f>IF($M391=0,K391,"")</f>
        <v>75</v>
      </c>
      <c r="AB191">
        <f>IF($M191=1,L191,"")</f>
        <v>12.1</v>
      </c>
      <c r="AC191">
        <f>IF($M391=0,L391,"")</f>
        <v>8.3000000000000007</v>
      </c>
    </row>
    <row r="192" spans="2:29" x14ac:dyDescent="0.3">
      <c r="B192">
        <v>41</v>
      </c>
      <c r="C192" t="s">
        <v>64</v>
      </c>
      <c r="D192">
        <v>4</v>
      </c>
      <c r="E192">
        <v>1</v>
      </c>
      <c r="F192">
        <v>4</v>
      </c>
      <c r="G192" s="5">
        <v>25887</v>
      </c>
      <c r="H192">
        <v>21</v>
      </c>
      <c r="I192" t="s">
        <v>66</v>
      </c>
      <c r="J192" s="5">
        <v>3110</v>
      </c>
      <c r="K192">
        <v>21</v>
      </c>
      <c r="L192">
        <f>'KRWSIP_Program_Baseline Data'!H193</f>
        <v>6.8</v>
      </c>
      <c r="M192">
        <v>1</v>
      </c>
      <c r="P192" s="6"/>
      <c r="V192" s="5">
        <f>IF($M192=1,G192,"")</f>
        <v>25887</v>
      </c>
      <c r="W192" s="5">
        <f>IF($M392=0, G392,"")</f>
        <v>28836</v>
      </c>
      <c r="X192" s="5">
        <f>IF($M192=1,J192,"")</f>
        <v>3110</v>
      </c>
      <c r="Y192" s="5">
        <f>IF($M392=0,J392,"")</f>
        <v>4442</v>
      </c>
      <c r="Z192" s="5">
        <f>IF($M192=1,K192,"")</f>
        <v>21</v>
      </c>
      <c r="AA192">
        <f>IF($M392=0,K392,"")</f>
        <v>17</v>
      </c>
      <c r="AB192">
        <f>IF($M192=1,L192,"")</f>
        <v>6.8</v>
      </c>
      <c r="AC192">
        <f>IF($M392=0,L392,"")</f>
        <v>14.2</v>
      </c>
    </row>
    <row r="193" spans="2:36" x14ac:dyDescent="0.3">
      <c r="B193">
        <v>159</v>
      </c>
      <c r="C193" t="s">
        <v>62</v>
      </c>
      <c r="D193">
        <v>7</v>
      </c>
      <c r="E193">
        <v>1</v>
      </c>
      <c r="F193">
        <v>7</v>
      </c>
      <c r="G193" s="5">
        <v>30649</v>
      </c>
      <c r="H193">
        <v>45</v>
      </c>
      <c r="I193" t="s">
        <v>68</v>
      </c>
      <c r="J193" s="5">
        <v>4311</v>
      </c>
      <c r="K193">
        <v>45</v>
      </c>
      <c r="L193">
        <f>'KRWSIP_Program_Baseline Data'!H194</f>
        <v>14.8</v>
      </c>
      <c r="M193">
        <v>1</v>
      </c>
      <c r="P193" s="6"/>
      <c r="V193" s="5">
        <f>IF($M193=1,G193,"")</f>
        <v>30649</v>
      </c>
      <c r="W193" s="5">
        <f>IF($M393=0, G393,"")</f>
        <v>29029</v>
      </c>
      <c r="X193" s="5">
        <f>IF($M193=1,J193,"")</f>
        <v>4311</v>
      </c>
      <c r="Y193" s="5">
        <f>IF($M393=0,J393,"")</f>
        <v>3893</v>
      </c>
      <c r="Z193" s="5">
        <f>IF($M193=1,K193,"")</f>
        <v>45</v>
      </c>
      <c r="AA193">
        <f>IF($M393=0,K393,"")</f>
        <v>92</v>
      </c>
      <c r="AB193">
        <f>IF($M193=1,L193,"")</f>
        <v>14.8</v>
      </c>
      <c r="AC193">
        <f>IF($M393=0,L393,"")</f>
        <v>12.6</v>
      </c>
    </row>
    <row r="194" spans="2:36" x14ac:dyDescent="0.3">
      <c r="B194">
        <v>161</v>
      </c>
      <c r="C194" t="s">
        <v>65</v>
      </c>
      <c r="D194">
        <v>2</v>
      </c>
      <c r="E194">
        <v>1</v>
      </c>
      <c r="F194">
        <v>2</v>
      </c>
      <c r="G194" s="5">
        <v>32001</v>
      </c>
      <c r="H194">
        <v>8</v>
      </c>
      <c r="I194" t="s">
        <v>68</v>
      </c>
      <c r="J194" s="5">
        <v>2136</v>
      </c>
      <c r="K194">
        <v>8</v>
      </c>
      <c r="L194">
        <f>'KRWSIP_Program_Baseline Data'!H195</f>
        <v>5.2</v>
      </c>
      <c r="M194">
        <v>1</v>
      </c>
      <c r="P194" s="6"/>
      <c r="V194" s="5">
        <f>IF($M194=1,G194,"")</f>
        <v>32001</v>
      </c>
      <c r="W194" s="5">
        <f>IF($M394=0, G394,"")</f>
        <v>22527</v>
      </c>
      <c r="X194" s="5">
        <f>IF($M194=1,J194,"")</f>
        <v>2136</v>
      </c>
      <c r="Y194" s="5">
        <f>IF($M394=0,J394,"")</f>
        <v>5554</v>
      </c>
      <c r="Z194" s="5">
        <f>IF($M194=1,K194,"")</f>
        <v>8</v>
      </c>
      <c r="AA194">
        <f>IF($M394=0,K394,"")</f>
        <v>43</v>
      </c>
      <c r="AB194">
        <f>IF($M194=1,L194,"")</f>
        <v>5.2</v>
      </c>
      <c r="AC194">
        <f>IF($M394=0,L394,"")</f>
        <v>11.9</v>
      </c>
    </row>
    <row r="195" spans="2:36" x14ac:dyDescent="0.3">
      <c r="B195">
        <v>211</v>
      </c>
      <c r="C195" t="s">
        <v>63</v>
      </c>
      <c r="D195">
        <v>3</v>
      </c>
      <c r="E195">
        <v>1</v>
      </c>
      <c r="F195">
        <v>3</v>
      </c>
      <c r="G195" s="5">
        <v>37381</v>
      </c>
      <c r="H195">
        <v>29</v>
      </c>
      <c r="I195" t="s">
        <v>66</v>
      </c>
      <c r="J195" s="5">
        <v>2757</v>
      </c>
      <c r="K195">
        <v>29</v>
      </c>
      <c r="L195">
        <f>'KRWSIP_Program_Baseline Data'!H196</f>
        <v>3</v>
      </c>
      <c r="M195">
        <v>1</v>
      </c>
      <c r="P195" s="6"/>
      <c r="V195" s="5">
        <f>IF($M195=1,G195,"")</f>
        <v>37381</v>
      </c>
      <c r="W195" s="5">
        <f>IF($M395=0, G395,"")</f>
        <v>32959</v>
      </c>
      <c r="X195" s="5">
        <f>IF($M195=1,J195,"")</f>
        <v>2757</v>
      </c>
      <c r="Y195" s="5">
        <f>IF($M395=0,J395,"")</f>
        <v>5038</v>
      </c>
      <c r="Z195" s="5">
        <f>IF($M195=1,K195,"")</f>
        <v>29</v>
      </c>
      <c r="AA195">
        <f>IF($M395=0,K395,"")</f>
        <v>32</v>
      </c>
      <c r="AB195">
        <f>IF($M195=1,L195,"")</f>
        <v>3</v>
      </c>
      <c r="AC195">
        <f>IF($M395=0,L395,"")</f>
        <v>14.6</v>
      </c>
    </row>
    <row r="196" spans="2:36" x14ac:dyDescent="0.3">
      <c r="B196">
        <v>372</v>
      </c>
      <c r="C196" t="s">
        <v>63</v>
      </c>
      <c r="D196">
        <v>5</v>
      </c>
      <c r="E196">
        <v>1</v>
      </c>
      <c r="F196">
        <v>5</v>
      </c>
      <c r="G196" s="5">
        <v>33809</v>
      </c>
      <c r="H196">
        <v>26</v>
      </c>
      <c r="I196" t="s">
        <v>67</v>
      </c>
      <c r="J196" s="5">
        <v>3301</v>
      </c>
      <c r="K196">
        <v>26</v>
      </c>
      <c r="L196">
        <f>'KRWSIP_Program_Baseline Data'!H197</f>
        <v>13.7</v>
      </c>
      <c r="M196">
        <v>1</v>
      </c>
      <c r="P196" s="6"/>
      <c r="V196" s="5">
        <f>IF($M196=1,G196,"")</f>
        <v>33809</v>
      </c>
      <c r="W196" s="5">
        <f>IF($M396=0, G396,"")</f>
        <v>46512</v>
      </c>
      <c r="X196" s="5">
        <f>IF($M196=1,J196,"")</f>
        <v>3301</v>
      </c>
      <c r="Y196" s="5">
        <f>IF($M396=0,J396,"")</f>
        <v>5077</v>
      </c>
      <c r="Z196" s="5">
        <f>IF($M196=1,K196,"")</f>
        <v>26</v>
      </c>
      <c r="AA196">
        <f>IF($M396=0,K396,"")</f>
        <v>22</v>
      </c>
      <c r="AB196">
        <f>IF($M196=1,L196,"")</f>
        <v>13.7</v>
      </c>
      <c r="AC196">
        <f>IF($M396=0,L396,"")</f>
        <v>14.4</v>
      </c>
    </row>
    <row r="197" spans="2:36" x14ac:dyDescent="0.3">
      <c r="B197">
        <v>201</v>
      </c>
      <c r="C197" t="s">
        <v>64</v>
      </c>
      <c r="D197">
        <v>8</v>
      </c>
      <c r="E197">
        <v>1</v>
      </c>
      <c r="F197">
        <v>8</v>
      </c>
      <c r="G197" s="5">
        <v>32746</v>
      </c>
      <c r="H197">
        <v>39</v>
      </c>
      <c r="I197" t="s">
        <v>66</v>
      </c>
      <c r="J197" s="5">
        <v>3151</v>
      </c>
      <c r="K197">
        <v>39</v>
      </c>
      <c r="L197">
        <f>'KRWSIP_Program_Baseline Data'!H198</f>
        <v>9.1999999999999993</v>
      </c>
      <c r="M197">
        <v>1</v>
      </c>
      <c r="P197" s="6"/>
      <c r="V197" s="5">
        <f>IF($M197=1,G197,"")</f>
        <v>32746</v>
      </c>
      <c r="W197" s="5">
        <f>IF($M397=0, G397,"")</f>
        <v>23056</v>
      </c>
      <c r="X197" s="5">
        <f>IF($M197=1,J197,"")</f>
        <v>3151</v>
      </c>
      <c r="Y197" s="5">
        <f>IF($M397=0,J397,"")</f>
        <v>5915</v>
      </c>
      <c r="Z197" s="5">
        <f>IF($M197=1,K197,"")</f>
        <v>39</v>
      </c>
      <c r="AA197">
        <f>IF($M397=0,K397,"")</f>
        <v>14</v>
      </c>
      <c r="AB197">
        <f>IF($M197=1,L197,"")</f>
        <v>9.1999999999999993</v>
      </c>
      <c r="AC197">
        <f>IF($M397=0,L397,"")</f>
        <v>0.6</v>
      </c>
    </row>
    <row r="198" spans="2:36" x14ac:dyDescent="0.3">
      <c r="B198">
        <v>82</v>
      </c>
      <c r="C198" t="s">
        <v>65</v>
      </c>
      <c r="D198">
        <v>6</v>
      </c>
      <c r="E198">
        <v>1</v>
      </c>
      <c r="F198">
        <v>6</v>
      </c>
      <c r="G198" s="5">
        <v>21358</v>
      </c>
      <c r="H198">
        <v>28</v>
      </c>
      <c r="I198" t="s">
        <v>67</v>
      </c>
      <c r="J198" s="5">
        <v>4290</v>
      </c>
      <c r="K198">
        <v>28</v>
      </c>
      <c r="L198">
        <f>'KRWSIP_Program_Baseline Data'!H199</f>
        <v>2.2999999999999998</v>
      </c>
      <c r="M198">
        <v>1</v>
      </c>
      <c r="P198" s="6"/>
      <c r="V198" s="5">
        <f>IF($M198=1,G198,"")</f>
        <v>21358</v>
      </c>
      <c r="W198" s="5">
        <f>IF($M398=0, G398,"")</f>
        <v>27507</v>
      </c>
      <c r="X198" s="5">
        <f>IF($M198=1,J198,"")</f>
        <v>4290</v>
      </c>
      <c r="Y198" s="5">
        <f>IF($M398=0,J398,"")</f>
        <v>3355</v>
      </c>
      <c r="Z198" s="5">
        <f>IF($M198=1,K198,"")</f>
        <v>28</v>
      </c>
      <c r="AA198">
        <f>IF($M398=0,K398,"")</f>
        <v>97</v>
      </c>
      <c r="AB198">
        <f>IF($M198=1,L198,"")</f>
        <v>2.2999999999999998</v>
      </c>
      <c r="AC198">
        <f>IF($M398=0,L398,"")</f>
        <v>9.8000000000000007</v>
      </c>
    </row>
    <row r="199" spans="2:36" x14ac:dyDescent="0.3">
      <c r="B199">
        <v>205</v>
      </c>
      <c r="C199" t="s">
        <v>64</v>
      </c>
      <c r="D199">
        <v>7</v>
      </c>
      <c r="E199">
        <v>1</v>
      </c>
      <c r="F199">
        <v>7</v>
      </c>
      <c r="G199" s="5">
        <v>29710</v>
      </c>
      <c r="H199">
        <v>50</v>
      </c>
      <c r="I199" t="s">
        <v>68</v>
      </c>
      <c r="J199" s="5">
        <v>3146</v>
      </c>
      <c r="K199">
        <v>50</v>
      </c>
      <c r="L199">
        <f>'KRWSIP_Program_Baseline Data'!H200</f>
        <v>0.7</v>
      </c>
      <c r="M199">
        <v>1</v>
      </c>
      <c r="P199" s="6"/>
      <c r="V199" s="5">
        <f>IF($M199=1,G199,"")</f>
        <v>29710</v>
      </c>
      <c r="W199" s="5">
        <f>IF($M399=0, G399,"")</f>
        <v>18773</v>
      </c>
      <c r="X199" s="5">
        <f>IF($M199=1,J199,"")</f>
        <v>3146</v>
      </c>
      <c r="Y199" s="5">
        <f>IF($M399=0,J399,"")</f>
        <v>4621</v>
      </c>
      <c r="Z199" s="5">
        <f>IF($M199=1,K199,"")</f>
        <v>50</v>
      </c>
      <c r="AA199">
        <f>IF($M399=0,K399,"")</f>
        <v>31</v>
      </c>
      <c r="AB199">
        <f>IF($M199=1,L199,"")</f>
        <v>0.7</v>
      </c>
      <c r="AC199">
        <f>IF($M399=0,L399,"")</f>
        <v>11.2</v>
      </c>
    </row>
    <row r="200" spans="2:36" x14ac:dyDescent="0.3">
      <c r="B200">
        <v>340</v>
      </c>
      <c r="C200" t="s">
        <v>63</v>
      </c>
      <c r="D200">
        <v>7</v>
      </c>
      <c r="E200">
        <v>1</v>
      </c>
      <c r="F200">
        <v>7</v>
      </c>
      <c r="G200" s="5">
        <v>21689</v>
      </c>
      <c r="H200">
        <v>50</v>
      </c>
      <c r="I200" t="s">
        <v>69</v>
      </c>
      <c r="J200" s="5">
        <v>4495</v>
      </c>
      <c r="K200">
        <v>50</v>
      </c>
      <c r="L200">
        <f>'KRWSIP_Program_Baseline Data'!H201</f>
        <v>0.6</v>
      </c>
      <c r="M200">
        <v>1</v>
      </c>
      <c r="P200" s="6"/>
      <c r="V200" s="5">
        <f>IF($M200=1,G200,"")</f>
        <v>21689</v>
      </c>
      <c r="W200" s="5">
        <f>IF($M400=0, G400,"")</f>
        <v>23111</v>
      </c>
      <c r="X200" s="5">
        <f>IF($M200=1,J200,"")</f>
        <v>4495</v>
      </c>
      <c r="Y200" s="5">
        <f>IF($M400=0,J400,"")</f>
        <v>5391</v>
      </c>
      <c r="Z200" s="5">
        <f>IF($M200=1,K200,"")</f>
        <v>50</v>
      </c>
      <c r="AA200">
        <f>IF($M400=0,K400,"")</f>
        <v>106</v>
      </c>
      <c r="AB200">
        <f>IF($M200=1,L200,"")</f>
        <v>0.6</v>
      </c>
      <c r="AC200">
        <f>IF($M400=0,L400,"")</f>
        <v>8.8000000000000007</v>
      </c>
    </row>
    <row r="201" spans="2:36" x14ac:dyDescent="0.3">
      <c r="B201">
        <v>233</v>
      </c>
      <c r="C201" t="s">
        <v>65</v>
      </c>
      <c r="D201">
        <v>2</v>
      </c>
      <c r="E201">
        <v>1</v>
      </c>
      <c r="F201">
        <v>2</v>
      </c>
      <c r="G201" s="5">
        <v>35225</v>
      </c>
      <c r="H201">
        <v>24</v>
      </c>
      <c r="I201" t="s">
        <v>68</v>
      </c>
      <c r="J201" s="5">
        <v>2844</v>
      </c>
      <c r="K201">
        <v>24</v>
      </c>
      <c r="L201">
        <f>'KRWSIP_Program_Baseline Data'!H202</f>
        <v>5.5</v>
      </c>
      <c r="M201">
        <v>1</v>
      </c>
      <c r="P201" s="6"/>
      <c r="V201" s="5">
        <f>IF($M201=1,G201,"")</f>
        <v>35225</v>
      </c>
      <c r="W201" s="5">
        <f>IF($M401=0, G401,"")</f>
        <v>48708</v>
      </c>
      <c r="X201" s="5">
        <f>IF($M201=1,J201,"")</f>
        <v>2844</v>
      </c>
      <c r="Y201" s="5">
        <f>IF($M401=0,J401,"")</f>
        <v>4920</v>
      </c>
      <c r="Z201" s="5">
        <f>IF($M201=1,K201,"")</f>
        <v>24</v>
      </c>
      <c r="AA201">
        <f>IF($M401=0,K401,"")</f>
        <v>49</v>
      </c>
      <c r="AB201">
        <f>IF($M201=1,L201,"")</f>
        <v>5.5</v>
      </c>
      <c r="AC201">
        <f>IF($M401=0,L401,"")</f>
        <v>11.7</v>
      </c>
    </row>
    <row r="202" spans="2:36" x14ac:dyDescent="0.3">
      <c r="B202">
        <v>167</v>
      </c>
      <c r="C202" t="s">
        <v>65</v>
      </c>
      <c r="D202">
        <v>3</v>
      </c>
      <c r="E202">
        <v>1</v>
      </c>
      <c r="F202">
        <v>3</v>
      </c>
      <c r="G202" s="5">
        <v>41466</v>
      </c>
      <c r="H202">
        <v>13</v>
      </c>
      <c r="I202" t="s">
        <v>66</v>
      </c>
      <c r="J202" s="5">
        <v>3031</v>
      </c>
      <c r="K202">
        <v>13</v>
      </c>
      <c r="L202">
        <f>'KRWSIP_Program_Baseline Data'!H203</f>
        <v>7.8</v>
      </c>
      <c r="M202">
        <v>1</v>
      </c>
      <c r="P202" s="6"/>
      <c r="V202" s="5">
        <f>IF($M202=1,G202,"")</f>
        <v>41466</v>
      </c>
      <c r="W202" s="5">
        <f>IF($M402=0, G402,"")</f>
        <v>23170</v>
      </c>
      <c r="X202" s="5">
        <f>IF($M202=1,J202,"")</f>
        <v>3031</v>
      </c>
      <c r="Y202" s="5">
        <f>IF($M402=0,J402,"")</f>
        <v>3406</v>
      </c>
      <c r="Z202" s="5">
        <f>IF($M202=1,K202,"")</f>
        <v>13</v>
      </c>
      <c r="AA202">
        <f>IF($M402=0,K402,"")</f>
        <v>76</v>
      </c>
      <c r="AB202">
        <f>IF($M202=1,L202,"")</f>
        <v>7.8</v>
      </c>
      <c r="AC202">
        <f>IF($M402=0,L402,"")</f>
        <v>14.9</v>
      </c>
    </row>
    <row r="203" spans="2:36" x14ac:dyDescent="0.3">
      <c r="B203">
        <v>6</v>
      </c>
      <c r="C203" t="s">
        <v>63</v>
      </c>
      <c r="D203">
        <v>7</v>
      </c>
      <c r="E203">
        <v>1</v>
      </c>
      <c r="F203">
        <v>7</v>
      </c>
      <c r="G203" s="5">
        <v>33124</v>
      </c>
      <c r="H203">
        <v>29</v>
      </c>
      <c r="I203" t="s">
        <v>68</v>
      </c>
      <c r="J203" s="5">
        <v>3173</v>
      </c>
      <c r="K203">
        <v>29</v>
      </c>
      <c r="L203">
        <f>'KRWSIP_Program_Baseline Data'!H204</f>
        <v>9.1999999999999993</v>
      </c>
      <c r="M203">
        <v>1</v>
      </c>
      <c r="P203" s="6"/>
      <c r="V203" s="5">
        <f>IF($M203=1,G203,"")</f>
        <v>33124</v>
      </c>
      <c r="W203" s="5">
        <f>IF($M403=0, G403,"")</f>
        <v>21581</v>
      </c>
      <c r="X203" s="5">
        <f>IF($M203=1,J203,"")</f>
        <v>3173</v>
      </c>
      <c r="Y203" s="5">
        <f>IF($M403=0,J403,"")</f>
        <v>2304</v>
      </c>
      <c r="Z203" s="5">
        <f>IF($M203=1,K203,"")</f>
        <v>29</v>
      </c>
      <c r="AA203">
        <f>IF($M403=0,K403,"")</f>
        <v>83</v>
      </c>
      <c r="AB203">
        <f>IF($M203=1,L203,"")</f>
        <v>9.1999999999999993</v>
      </c>
      <c r="AC203">
        <f>IF($M403=0,L403,"")</f>
        <v>2.2999999999999998</v>
      </c>
    </row>
    <row r="204" spans="2:36" x14ac:dyDescent="0.3">
      <c r="B204">
        <v>320</v>
      </c>
      <c r="C204" t="s">
        <v>63</v>
      </c>
      <c r="D204">
        <v>3</v>
      </c>
      <c r="E204">
        <v>1</v>
      </c>
      <c r="F204">
        <v>3</v>
      </c>
      <c r="G204" s="5">
        <v>21060</v>
      </c>
      <c r="H204">
        <v>13</v>
      </c>
      <c r="I204" t="s">
        <v>67</v>
      </c>
      <c r="J204" s="5">
        <v>3260</v>
      </c>
      <c r="K204">
        <v>13</v>
      </c>
      <c r="L204">
        <f>'KRWSIP_Program_Baseline Data'!H205</f>
        <v>13.2</v>
      </c>
      <c r="M204">
        <v>1</v>
      </c>
      <c r="P204" s="6"/>
      <c r="V204" s="5">
        <f>IF($M204=1,G204,"")</f>
        <v>21060</v>
      </c>
      <c r="W204" s="5">
        <f>IF($M404=0, G404,"")</f>
        <v>39267</v>
      </c>
      <c r="X204" s="5">
        <f>IF($M204=1,J204,"")</f>
        <v>3260</v>
      </c>
      <c r="Y204" s="5">
        <f>IF($M404=0,J404,"")</f>
        <v>5753</v>
      </c>
      <c r="Z204" s="5">
        <f>IF($M204=1,K204,"")</f>
        <v>13</v>
      </c>
      <c r="AA204">
        <f>IF($M404=0,K404,"")</f>
        <v>117</v>
      </c>
      <c r="AB204">
        <f>IF($M204=1,L204,"")</f>
        <v>13.2</v>
      </c>
      <c r="AC204">
        <f>IF($M404=0,L404,"")</f>
        <v>8.4</v>
      </c>
    </row>
    <row r="205" spans="2:36" x14ac:dyDescent="0.3">
      <c r="B205">
        <v>97</v>
      </c>
      <c r="C205" t="s">
        <v>63</v>
      </c>
      <c r="D205">
        <v>5</v>
      </c>
      <c r="E205">
        <v>0</v>
      </c>
      <c r="F205">
        <v>5</v>
      </c>
      <c r="G205" s="5">
        <v>24830</v>
      </c>
      <c r="H205">
        <v>88</v>
      </c>
      <c r="I205" t="s">
        <v>66</v>
      </c>
      <c r="J205" s="5">
        <v>5681</v>
      </c>
      <c r="K205">
        <v>88</v>
      </c>
      <c r="L205">
        <f>'KRWSIP_Program_Baseline Data'!H206</f>
        <v>3.5</v>
      </c>
      <c r="M205">
        <v>0</v>
      </c>
      <c r="P205" s="6"/>
      <c r="V205" s="5">
        <f>AVERAGE(V5:V204)</f>
        <v>31262.7</v>
      </c>
      <c r="W205" s="5">
        <f t="shared" ref="W205:AC205" si="1">AVERAGE(W5:W204)</f>
        <v>28922.775000000001</v>
      </c>
      <c r="X205" s="5">
        <f t="shared" si="1"/>
        <v>3305.5149999999999</v>
      </c>
      <c r="Y205" s="5">
        <f t="shared" si="1"/>
        <v>4660.2950000000001</v>
      </c>
      <c r="Z205" s="5">
        <f t="shared" si="1"/>
        <v>29.324999999999999</v>
      </c>
      <c r="AA205" s="5">
        <f t="shared" si="1"/>
        <v>64.36</v>
      </c>
      <c r="AB205" s="5">
        <f t="shared" si="1"/>
        <v>8.1254999999999971</v>
      </c>
      <c r="AC205" s="5">
        <f t="shared" si="1"/>
        <v>7.656500000000003</v>
      </c>
    </row>
    <row r="206" spans="2:36" x14ac:dyDescent="0.3">
      <c r="B206">
        <v>25</v>
      </c>
      <c r="C206" t="s">
        <v>64</v>
      </c>
      <c r="D206">
        <v>6</v>
      </c>
      <c r="E206">
        <v>0</v>
      </c>
      <c r="F206">
        <v>6</v>
      </c>
      <c r="G206" s="5">
        <v>31429</v>
      </c>
      <c r="H206">
        <v>29</v>
      </c>
      <c r="I206" t="s">
        <v>67</v>
      </c>
      <c r="J206" s="5">
        <v>5077</v>
      </c>
      <c r="K206">
        <v>29</v>
      </c>
      <c r="L206">
        <f>'KRWSIP_Program_Baseline Data'!H207</f>
        <v>6.7</v>
      </c>
      <c r="M206">
        <v>0</v>
      </c>
      <c r="P206" s="6"/>
      <c r="W206" s="6">
        <f>V205-W205</f>
        <v>2339.9249999999993</v>
      </c>
      <c r="X206" t="str">
        <f>IF($M206=1,J206,"")</f>
        <v/>
      </c>
      <c r="Y206" s="6">
        <f>Y205-X205</f>
        <v>1354.7800000000002</v>
      </c>
      <c r="Z206" s="6"/>
      <c r="AA206" s="6">
        <f>Z205-AA205</f>
        <v>-35.034999999999997</v>
      </c>
      <c r="AC206" s="6">
        <f>AB205-AC205</f>
        <v>0.46899999999999409</v>
      </c>
    </row>
    <row r="207" spans="2:36" x14ac:dyDescent="0.3">
      <c r="B207">
        <v>33</v>
      </c>
      <c r="C207" t="s">
        <v>65</v>
      </c>
      <c r="D207">
        <v>8</v>
      </c>
      <c r="E207">
        <v>0</v>
      </c>
      <c r="F207">
        <v>8</v>
      </c>
      <c r="G207" s="5">
        <v>28947</v>
      </c>
      <c r="H207">
        <v>59</v>
      </c>
      <c r="I207" t="s">
        <v>67</v>
      </c>
      <c r="J207" s="5">
        <v>6477</v>
      </c>
      <c r="K207">
        <v>59</v>
      </c>
      <c r="L207">
        <f>'KRWSIP_Program_Baseline Data'!H208</f>
        <v>11.2</v>
      </c>
      <c r="M207">
        <v>0</v>
      </c>
      <c r="P207" s="6"/>
      <c r="V207" t="str">
        <f>IF($M207=1,G207,"")</f>
        <v/>
      </c>
      <c r="X207" t="str">
        <f>IF($M207=1,J207,"")</f>
        <v/>
      </c>
      <c r="AI207" s="9"/>
      <c r="AJ207" s="9"/>
    </row>
    <row r="208" spans="2:36" x14ac:dyDescent="0.3">
      <c r="B208">
        <v>163</v>
      </c>
      <c r="C208" t="s">
        <v>62</v>
      </c>
      <c r="D208">
        <v>2</v>
      </c>
      <c r="E208">
        <v>0</v>
      </c>
      <c r="F208">
        <v>2</v>
      </c>
      <c r="G208" s="5">
        <v>23189</v>
      </c>
      <c r="H208">
        <v>46</v>
      </c>
      <c r="I208" t="s">
        <v>69</v>
      </c>
      <c r="J208" s="5">
        <v>2641</v>
      </c>
      <c r="K208">
        <v>46</v>
      </c>
      <c r="L208">
        <f>'KRWSIP_Program_Baseline Data'!H209</f>
        <v>13.9</v>
      </c>
      <c r="M208">
        <v>0</v>
      </c>
      <c r="P208" s="6"/>
      <c r="V208" t="str">
        <f>IF($M208=1,G208,"")</f>
        <v/>
      </c>
      <c r="X208" t="str">
        <f>IF($M208=1,J208,"")</f>
        <v/>
      </c>
      <c r="AH208" s="9"/>
      <c r="AI208" s="9"/>
      <c r="AJ208" s="9"/>
    </row>
    <row r="209" spans="2:36" x14ac:dyDescent="0.3">
      <c r="B209">
        <v>131</v>
      </c>
      <c r="C209" t="s">
        <v>62</v>
      </c>
      <c r="D209">
        <v>8</v>
      </c>
      <c r="E209">
        <v>0</v>
      </c>
      <c r="F209">
        <v>8</v>
      </c>
      <c r="G209" s="5">
        <v>37703</v>
      </c>
      <c r="H209">
        <v>103</v>
      </c>
      <c r="I209" t="s">
        <v>69</v>
      </c>
      <c r="J209" s="5">
        <v>4626</v>
      </c>
      <c r="K209">
        <v>103</v>
      </c>
      <c r="L209">
        <f>'KRWSIP_Program_Baseline Data'!H210</f>
        <v>7.2</v>
      </c>
      <c r="M209">
        <v>0</v>
      </c>
      <c r="P209" s="6"/>
      <c r="AH209" s="9"/>
      <c r="AI209" s="9"/>
      <c r="AJ209" s="9"/>
    </row>
    <row r="210" spans="2:36" x14ac:dyDescent="0.3">
      <c r="B210">
        <v>382</v>
      </c>
      <c r="C210" t="s">
        <v>62</v>
      </c>
      <c r="D210">
        <v>2</v>
      </c>
      <c r="E210">
        <v>0</v>
      </c>
      <c r="F210">
        <v>2</v>
      </c>
      <c r="G210" s="5">
        <v>21543</v>
      </c>
      <c r="H210">
        <v>53</v>
      </c>
      <c r="I210" t="s">
        <v>69</v>
      </c>
      <c r="J210" s="5">
        <v>3620</v>
      </c>
      <c r="K210">
        <v>53</v>
      </c>
      <c r="L210">
        <f>'KRWSIP_Program_Baseline Data'!H211</f>
        <v>10.4</v>
      </c>
      <c r="M210">
        <v>0</v>
      </c>
      <c r="P210" s="6"/>
      <c r="AH210" s="9"/>
      <c r="AI210" s="9"/>
      <c r="AJ210" s="9"/>
    </row>
    <row r="211" spans="2:36" x14ac:dyDescent="0.3">
      <c r="B211">
        <v>13</v>
      </c>
      <c r="C211" t="s">
        <v>62</v>
      </c>
      <c r="D211">
        <v>7</v>
      </c>
      <c r="E211">
        <v>0</v>
      </c>
      <c r="F211">
        <v>7</v>
      </c>
      <c r="G211" s="5">
        <v>29013</v>
      </c>
      <c r="H211">
        <v>114</v>
      </c>
      <c r="I211" t="s">
        <v>68</v>
      </c>
      <c r="J211" s="5">
        <v>5213</v>
      </c>
      <c r="K211">
        <v>114</v>
      </c>
      <c r="L211">
        <f>'KRWSIP_Program_Baseline Data'!H212</f>
        <v>14.2</v>
      </c>
      <c r="M211">
        <v>0</v>
      </c>
      <c r="P211" s="6"/>
      <c r="AH211" s="9"/>
      <c r="AI211" s="9"/>
      <c r="AJ211" s="9"/>
    </row>
    <row r="212" spans="2:36" x14ac:dyDescent="0.3">
      <c r="B212">
        <v>183</v>
      </c>
      <c r="C212" t="s">
        <v>63</v>
      </c>
      <c r="D212">
        <v>8</v>
      </c>
      <c r="E212">
        <v>0</v>
      </c>
      <c r="F212">
        <v>8</v>
      </c>
      <c r="G212" s="5">
        <v>38238</v>
      </c>
      <c r="H212">
        <v>103</v>
      </c>
      <c r="I212" t="s">
        <v>68</v>
      </c>
      <c r="J212" s="5">
        <v>6971</v>
      </c>
      <c r="K212">
        <v>103</v>
      </c>
      <c r="L212">
        <f>'KRWSIP_Program_Baseline Data'!H213</f>
        <v>4.8</v>
      </c>
      <c r="M212">
        <v>0</v>
      </c>
      <c r="P212" s="6"/>
      <c r="AH212" s="9"/>
      <c r="AI212" s="9"/>
      <c r="AJ212" s="9"/>
    </row>
    <row r="213" spans="2:36" x14ac:dyDescent="0.3">
      <c r="B213">
        <v>181</v>
      </c>
      <c r="C213" t="s">
        <v>63</v>
      </c>
      <c r="D213">
        <v>3</v>
      </c>
      <c r="E213">
        <v>0</v>
      </c>
      <c r="F213">
        <v>3</v>
      </c>
      <c r="G213" s="5">
        <v>26437</v>
      </c>
      <c r="H213">
        <v>24</v>
      </c>
      <c r="I213" t="s">
        <v>68</v>
      </c>
      <c r="J213" s="5">
        <v>2677</v>
      </c>
      <c r="K213">
        <v>24</v>
      </c>
      <c r="L213">
        <f>'KRWSIP_Program_Baseline Data'!H214</f>
        <v>10.199999999999999</v>
      </c>
      <c r="M213">
        <v>0</v>
      </c>
      <c r="P213" s="6"/>
      <c r="AH213" s="9"/>
      <c r="AI213" s="9"/>
      <c r="AJ213" s="9"/>
    </row>
    <row r="214" spans="2:36" x14ac:dyDescent="0.3">
      <c r="B214">
        <v>100</v>
      </c>
      <c r="C214" t="s">
        <v>65</v>
      </c>
      <c r="D214">
        <v>8</v>
      </c>
      <c r="E214">
        <v>0</v>
      </c>
      <c r="F214">
        <v>8</v>
      </c>
      <c r="G214" s="5">
        <v>19219</v>
      </c>
      <c r="H214">
        <v>80</v>
      </c>
      <c r="I214" t="s">
        <v>68</v>
      </c>
      <c r="J214" s="5">
        <v>5116</v>
      </c>
      <c r="K214">
        <v>80</v>
      </c>
      <c r="L214">
        <f>'KRWSIP_Program_Baseline Data'!H215</f>
        <v>12.4</v>
      </c>
      <c r="M214">
        <v>0</v>
      </c>
      <c r="P214" s="6"/>
      <c r="AH214" s="9"/>
      <c r="AI214" s="9"/>
      <c r="AJ214" s="9"/>
    </row>
    <row r="215" spans="2:36" x14ac:dyDescent="0.3">
      <c r="B215">
        <v>117</v>
      </c>
      <c r="C215" t="s">
        <v>63</v>
      </c>
      <c r="D215">
        <v>3</v>
      </c>
      <c r="E215">
        <v>0</v>
      </c>
      <c r="F215">
        <v>3</v>
      </c>
      <c r="G215" s="5">
        <v>27241</v>
      </c>
      <c r="H215">
        <v>96</v>
      </c>
      <c r="I215" t="s">
        <v>68</v>
      </c>
      <c r="J215" s="5">
        <v>3432</v>
      </c>
      <c r="K215">
        <v>96</v>
      </c>
      <c r="L215">
        <f>'KRWSIP_Program_Baseline Data'!H216</f>
        <v>5.4</v>
      </c>
      <c r="M215">
        <v>0</v>
      </c>
      <c r="P215" s="6"/>
      <c r="AH215" s="9"/>
      <c r="AI215" s="9"/>
      <c r="AJ215" s="9"/>
    </row>
    <row r="216" spans="2:36" x14ac:dyDescent="0.3">
      <c r="B216">
        <v>331</v>
      </c>
      <c r="C216" t="s">
        <v>64</v>
      </c>
      <c r="D216">
        <v>7</v>
      </c>
      <c r="E216">
        <v>0</v>
      </c>
      <c r="F216">
        <v>7</v>
      </c>
      <c r="G216" s="5">
        <v>24530</v>
      </c>
      <c r="H216">
        <v>93</v>
      </c>
      <c r="I216" t="s">
        <v>68</v>
      </c>
      <c r="J216" s="5">
        <v>5334</v>
      </c>
      <c r="K216">
        <v>93</v>
      </c>
      <c r="L216">
        <f>'KRWSIP_Program_Baseline Data'!H217</f>
        <v>7.2</v>
      </c>
      <c r="M216">
        <v>0</v>
      </c>
      <c r="P216" s="6"/>
      <c r="AH216" s="9"/>
      <c r="AI216" s="9"/>
      <c r="AJ216" s="9"/>
    </row>
    <row r="217" spans="2:36" ht="15" thickBot="1" x14ac:dyDescent="0.35">
      <c r="B217">
        <v>259</v>
      </c>
      <c r="C217" t="s">
        <v>65</v>
      </c>
      <c r="D217">
        <v>2</v>
      </c>
      <c r="E217">
        <v>0</v>
      </c>
      <c r="F217">
        <v>2</v>
      </c>
      <c r="G217" s="5">
        <v>33734</v>
      </c>
      <c r="H217">
        <v>119</v>
      </c>
      <c r="I217" t="s">
        <v>66</v>
      </c>
      <c r="J217" s="5">
        <v>2263</v>
      </c>
      <c r="K217">
        <v>119</v>
      </c>
      <c r="L217">
        <f>'KRWSIP_Program_Baseline Data'!H218</f>
        <v>12.9</v>
      </c>
      <c r="M217">
        <v>0</v>
      </c>
      <c r="P217" s="6"/>
      <c r="AH217" s="10"/>
      <c r="AI217" s="10"/>
      <c r="AJ217" s="10"/>
    </row>
    <row r="218" spans="2:36" x14ac:dyDescent="0.3">
      <c r="B218">
        <v>228</v>
      </c>
      <c r="C218" t="s">
        <v>64</v>
      </c>
      <c r="D218">
        <v>8</v>
      </c>
      <c r="E218">
        <v>0</v>
      </c>
      <c r="F218">
        <v>8</v>
      </c>
      <c r="G218" s="5">
        <v>27872</v>
      </c>
      <c r="H218">
        <v>77</v>
      </c>
      <c r="I218" t="s">
        <v>67</v>
      </c>
      <c r="J218" s="5">
        <v>4830</v>
      </c>
      <c r="K218">
        <v>77</v>
      </c>
      <c r="L218">
        <f>'KRWSIP_Program_Baseline Data'!H219</f>
        <v>0.8</v>
      </c>
      <c r="M218">
        <v>0</v>
      </c>
      <c r="P218" s="6"/>
    </row>
    <row r="219" spans="2:36" x14ac:dyDescent="0.3">
      <c r="B219">
        <v>95</v>
      </c>
      <c r="C219" t="s">
        <v>64</v>
      </c>
      <c r="D219">
        <v>2</v>
      </c>
      <c r="E219">
        <v>0</v>
      </c>
      <c r="F219">
        <v>2</v>
      </c>
      <c r="G219" s="5">
        <v>18671</v>
      </c>
      <c r="H219">
        <v>88</v>
      </c>
      <c r="I219" t="s">
        <v>67</v>
      </c>
      <c r="J219" s="5">
        <v>3961</v>
      </c>
      <c r="K219">
        <v>88</v>
      </c>
      <c r="L219">
        <f>'KRWSIP_Program_Baseline Data'!H220</f>
        <v>13.8</v>
      </c>
      <c r="M219">
        <v>0</v>
      </c>
      <c r="P219" s="6"/>
    </row>
    <row r="220" spans="2:36" x14ac:dyDescent="0.3">
      <c r="B220">
        <v>246</v>
      </c>
      <c r="C220" t="s">
        <v>63</v>
      </c>
      <c r="D220">
        <v>8</v>
      </c>
      <c r="E220">
        <v>0</v>
      </c>
      <c r="F220">
        <v>8</v>
      </c>
      <c r="G220" s="5">
        <v>29940</v>
      </c>
      <c r="H220">
        <v>90</v>
      </c>
      <c r="I220" t="s">
        <v>67</v>
      </c>
      <c r="J220" s="5">
        <v>4738</v>
      </c>
      <c r="K220">
        <v>90</v>
      </c>
      <c r="L220">
        <f>'KRWSIP_Program_Baseline Data'!H221</f>
        <v>7.8</v>
      </c>
      <c r="M220">
        <v>0</v>
      </c>
      <c r="P220" s="6"/>
    </row>
    <row r="221" spans="2:36" x14ac:dyDescent="0.3">
      <c r="B221">
        <v>217</v>
      </c>
      <c r="C221" t="s">
        <v>62</v>
      </c>
      <c r="D221">
        <v>4</v>
      </c>
      <c r="E221">
        <v>0</v>
      </c>
      <c r="F221">
        <v>4</v>
      </c>
      <c r="G221" s="5">
        <v>32486</v>
      </c>
      <c r="H221">
        <v>18</v>
      </c>
      <c r="I221" t="s">
        <v>68</v>
      </c>
      <c r="J221" s="5">
        <v>5210</v>
      </c>
      <c r="K221">
        <v>18</v>
      </c>
      <c r="L221">
        <f>'KRWSIP_Program_Baseline Data'!H222</f>
        <v>5.8</v>
      </c>
      <c r="M221">
        <v>0</v>
      </c>
      <c r="P221" s="6"/>
    </row>
    <row r="222" spans="2:36" x14ac:dyDescent="0.3">
      <c r="B222">
        <v>32</v>
      </c>
      <c r="C222" t="s">
        <v>64</v>
      </c>
      <c r="D222">
        <v>2</v>
      </c>
      <c r="E222">
        <v>0</v>
      </c>
      <c r="F222">
        <v>2</v>
      </c>
      <c r="G222" s="5">
        <v>30914</v>
      </c>
      <c r="H222">
        <v>110</v>
      </c>
      <c r="I222" t="s">
        <v>68</v>
      </c>
      <c r="J222" s="5">
        <v>4299</v>
      </c>
      <c r="K222">
        <v>110</v>
      </c>
      <c r="L222">
        <f>'KRWSIP_Program_Baseline Data'!H223</f>
        <v>10.1</v>
      </c>
      <c r="M222">
        <v>0</v>
      </c>
      <c r="P222" s="6"/>
    </row>
    <row r="223" spans="2:36" x14ac:dyDescent="0.3">
      <c r="B223">
        <v>138</v>
      </c>
      <c r="C223" t="s">
        <v>63</v>
      </c>
      <c r="D223">
        <v>2</v>
      </c>
      <c r="E223">
        <v>0</v>
      </c>
      <c r="F223">
        <v>2</v>
      </c>
      <c r="G223" s="5">
        <v>25348</v>
      </c>
      <c r="H223">
        <v>51</v>
      </c>
      <c r="I223" t="s">
        <v>68</v>
      </c>
      <c r="J223" s="5">
        <v>2802</v>
      </c>
      <c r="K223">
        <v>51</v>
      </c>
      <c r="L223">
        <f>'KRWSIP_Program_Baseline Data'!H224</f>
        <v>10.199999999999999</v>
      </c>
      <c r="M223">
        <v>0</v>
      </c>
      <c r="P223" s="6"/>
    </row>
    <row r="224" spans="2:36" x14ac:dyDescent="0.3">
      <c r="B224">
        <v>354</v>
      </c>
      <c r="C224" t="s">
        <v>64</v>
      </c>
      <c r="D224">
        <v>7</v>
      </c>
      <c r="E224">
        <v>0</v>
      </c>
      <c r="F224">
        <v>7</v>
      </c>
      <c r="G224" s="5">
        <v>30502</v>
      </c>
      <c r="H224">
        <v>52</v>
      </c>
      <c r="I224" t="s">
        <v>67</v>
      </c>
      <c r="J224" s="5">
        <v>6487</v>
      </c>
      <c r="K224">
        <v>52</v>
      </c>
      <c r="L224">
        <f>'KRWSIP_Program_Baseline Data'!H225</f>
        <v>2.9</v>
      </c>
      <c r="M224">
        <v>0</v>
      </c>
      <c r="P224" s="6"/>
    </row>
    <row r="225" spans="2:22" x14ac:dyDescent="0.3">
      <c r="B225">
        <v>38</v>
      </c>
      <c r="C225" t="s">
        <v>65</v>
      </c>
      <c r="D225">
        <v>7</v>
      </c>
      <c r="E225">
        <v>0</v>
      </c>
      <c r="F225">
        <v>7</v>
      </c>
      <c r="G225" s="5">
        <v>30446</v>
      </c>
      <c r="H225">
        <v>78</v>
      </c>
      <c r="I225" t="s">
        <v>68</v>
      </c>
      <c r="J225" s="5">
        <v>6464</v>
      </c>
      <c r="K225">
        <v>78</v>
      </c>
      <c r="L225">
        <f>'KRWSIP_Program_Baseline Data'!H226</f>
        <v>8.4</v>
      </c>
      <c r="M225">
        <v>0</v>
      </c>
      <c r="P225" s="6"/>
    </row>
    <row r="226" spans="2:22" x14ac:dyDescent="0.3">
      <c r="B226">
        <v>343</v>
      </c>
      <c r="C226" t="s">
        <v>65</v>
      </c>
      <c r="D226">
        <v>6</v>
      </c>
      <c r="E226">
        <v>0</v>
      </c>
      <c r="F226">
        <v>6</v>
      </c>
      <c r="G226" s="5">
        <v>19473</v>
      </c>
      <c r="H226">
        <v>29</v>
      </c>
      <c r="I226" t="s">
        <v>67</v>
      </c>
      <c r="J226" s="5">
        <v>4510</v>
      </c>
      <c r="K226">
        <v>29</v>
      </c>
      <c r="L226">
        <f>'KRWSIP_Program_Baseline Data'!H227</f>
        <v>14.8</v>
      </c>
      <c r="M226">
        <v>0</v>
      </c>
      <c r="P226" s="6"/>
    </row>
    <row r="227" spans="2:22" x14ac:dyDescent="0.3">
      <c r="B227">
        <v>285</v>
      </c>
      <c r="C227" t="s">
        <v>63</v>
      </c>
      <c r="D227">
        <v>6</v>
      </c>
      <c r="E227">
        <v>0</v>
      </c>
      <c r="F227">
        <v>6</v>
      </c>
      <c r="G227" s="5">
        <v>23706</v>
      </c>
      <c r="H227">
        <v>59</v>
      </c>
      <c r="I227" t="s">
        <v>69</v>
      </c>
      <c r="J227" s="5">
        <v>4879</v>
      </c>
      <c r="K227">
        <v>59</v>
      </c>
      <c r="L227">
        <f>'KRWSIP_Program_Baseline Data'!H228</f>
        <v>11.5</v>
      </c>
      <c r="M227">
        <v>0</v>
      </c>
      <c r="P227" s="6"/>
    </row>
    <row r="228" spans="2:22" x14ac:dyDescent="0.3">
      <c r="B228">
        <v>249</v>
      </c>
      <c r="C228" t="s">
        <v>65</v>
      </c>
      <c r="D228">
        <v>2</v>
      </c>
      <c r="E228">
        <v>0</v>
      </c>
      <c r="F228">
        <v>2</v>
      </c>
      <c r="G228" s="5">
        <v>16949</v>
      </c>
      <c r="H228">
        <v>33</v>
      </c>
      <c r="I228" t="s">
        <v>69</v>
      </c>
      <c r="J228" s="5">
        <v>3355</v>
      </c>
      <c r="K228">
        <v>33</v>
      </c>
      <c r="L228">
        <f>'KRWSIP_Program_Baseline Data'!H229</f>
        <v>7.2</v>
      </c>
      <c r="M228">
        <v>0</v>
      </c>
      <c r="P228" s="6"/>
    </row>
    <row r="229" spans="2:22" x14ac:dyDescent="0.3">
      <c r="B229">
        <v>394</v>
      </c>
      <c r="C229" t="s">
        <v>62</v>
      </c>
      <c r="D229">
        <v>6</v>
      </c>
      <c r="E229">
        <v>0</v>
      </c>
      <c r="F229">
        <v>6</v>
      </c>
      <c r="G229" s="5">
        <v>30735</v>
      </c>
      <c r="H229">
        <v>117</v>
      </c>
      <c r="I229" t="s">
        <v>68</v>
      </c>
      <c r="J229" s="5">
        <v>5281</v>
      </c>
      <c r="K229">
        <v>117</v>
      </c>
      <c r="L229">
        <f>'KRWSIP_Program_Baseline Data'!H230</f>
        <v>3.8</v>
      </c>
      <c r="M229">
        <v>0</v>
      </c>
      <c r="P229" s="6"/>
    </row>
    <row r="230" spans="2:22" x14ac:dyDescent="0.3">
      <c r="B230">
        <v>57</v>
      </c>
      <c r="C230" t="s">
        <v>65</v>
      </c>
      <c r="D230">
        <v>7</v>
      </c>
      <c r="E230">
        <v>0</v>
      </c>
      <c r="F230">
        <v>7</v>
      </c>
      <c r="G230" s="5">
        <v>21453</v>
      </c>
      <c r="H230">
        <v>84</v>
      </c>
      <c r="I230" t="s">
        <v>69</v>
      </c>
      <c r="J230" s="5">
        <v>6206</v>
      </c>
      <c r="K230">
        <v>84</v>
      </c>
      <c r="L230">
        <f>'KRWSIP_Program_Baseline Data'!H231</f>
        <v>2</v>
      </c>
      <c r="M230">
        <v>0</v>
      </c>
      <c r="P230" s="6"/>
    </row>
    <row r="231" spans="2:22" x14ac:dyDescent="0.3">
      <c r="B231">
        <v>281</v>
      </c>
      <c r="C231" t="s">
        <v>65</v>
      </c>
      <c r="D231">
        <v>2</v>
      </c>
      <c r="E231">
        <v>0</v>
      </c>
      <c r="F231">
        <v>2</v>
      </c>
      <c r="G231" s="5">
        <v>27934</v>
      </c>
      <c r="H231">
        <v>101</v>
      </c>
      <c r="I231" t="s">
        <v>69</v>
      </c>
      <c r="J231" s="5">
        <v>3830</v>
      </c>
      <c r="K231">
        <v>101</v>
      </c>
      <c r="L231">
        <f>'KRWSIP_Program_Baseline Data'!H232</f>
        <v>10.7</v>
      </c>
      <c r="M231">
        <v>0</v>
      </c>
      <c r="P231" s="6"/>
    </row>
    <row r="232" spans="2:22" x14ac:dyDescent="0.3">
      <c r="B232">
        <v>260</v>
      </c>
      <c r="C232" t="s">
        <v>62</v>
      </c>
      <c r="D232">
        <v>5</v>
      </c>
      <c r="E232">
        <v>0</v>
      </c>
      <c r="F232">
        <v>5</v>
      </c>
      <c r="G232" s="5">
        <v>25667</v>
      </c>
      <c r="H232">
        <v>71</v>
      </c>
      <c r="I232" t="s">
        <v>69</v>
      </c>
      <c r="J232" s="5">
        <v>5030</v>
      </c>
      <c r="K232">
        <v>71</v>
      </c>
      <c r="L232">
        <f>'KRWSIP_Program_Baseline Data'!H233</f>
        <v>14.4</v>
      </c>
      <c r="M232">
        <v>0</v>
      </c>
      <c r="P232" s="6"/>
      <c r="V232" t="str">
        <f>IF($M232=1,G232,"")</f>
        <v/>
      </c>
    </row>
    <row r="233" spans="2:22" x14ac:dyDescent="0.3">
      <c r="B233">
        <v>129</v>
      </c>
      <c r="C233" t="s">
        <v>63</v>
      </c>
      <c r="D233">
        <v>6</v>
      </c>
      <c r="E233">
        <v>0</v>
      </c>
      <c r="F233">
        <v>6</v>
      </c>
      <c r="G233" s="5">
        <v>30572</v>
      </c>
      <c r="H233">
        <v>84</v>
      </c>
      <c r="I233" t="s">
        <v>69</v>
      </c>
      <c r="J233" s="5">
        <v>5067</v>
      </c>
      <c r="K233">
        <v>84</v>
      </c>
      <c r="L233">
        <f>'KRWSIP_Program_Baseline Data'!H234</f>
        <v>9.8000000000000007</v>
      </c>
      <c r="M233">
        <v>0</v>
      </c>
      <c r="P233" s="6"/>
      <c r="V233" t="str">
        <f>IF($M233=1,G233,"")</f>
        <v/>
      </c>
    </row>
    <row r="234" spans="2:22" x14ac:dyDescent="0.3">
      <c r="B234">
        <v>210</v>
      </c>
      <c r="C234" t="s">
        <v>64</v>
      </c>
      <c r="D234">
        <v>3</v>
      </c>
      <c r="E234">
        <v>0</v>
      </c>
      <c r="F234">
        <v>3</v>
      </c>
      <c r="G234" s="5">
        <v>44501</v>
      </c>
      <c r="H234">
        <v>73</v>
      </c>
      <c r="I234" t="s">
        <v>67</v>
      </c>
      <c r="J234" s="5">
        <v>4224</v>
      </c>
      <c r="K234">
        <v>73</v>
      </c>
      <c r="L234">
        <f>'KRWSIP_Program_Baseline Data'!H235</f>
        <v>9.3000000000000007</v>
      </c>
      <c r="M234">
        <v>0</v>
      </c>
      <c r="P234" s="6"/>
      <c r="V234" t="str">
        <f>IF($M234=1,G234,"")</f>
        <v/>
      </c>
    </row>
    <row r="235" spans="2:22" x14ac:dyDescent="0.3">
      <c r="B235">
        <v>65</v>
      </c>
      <c r="C235" t="s">
        <v>62</v>
      </c>
      <c r="D235">
        <v>2</v>
      </c>
      <c r="E235">
        <v>0</v>
      </c>
      <c r="F235">
        <v>2</v>
      </c>
      <c r="G235" s="5">
        <v>24688</v>
      </c>
      <c r="H235">
        <v>96</v>
      </c>
      <c r="I235" t="s">
        <v>67</v>
      </c>
      <c r="J235" s="5">
        <v>2862</v>
      </c>
      <c r="K235">
        <v>96</v>
      </c>
      <c r="L235">
        <f>'KRWSIP_Program_Baseline Data'!H236</f>
        <v>0.7</v>
      </c>
      <c r="M235">
        <v>0</v>
      </c>
      <c r="P235" s="6"/>
      <c r="V235" t="str">
        <f>IF($M235=1,G235,"")</f>
        <v/>
      </c>
    </row>
    <row r="236" spans="2:22" x14ac:dyDescent="0.3">
      <c r="B236">
        <v>5</v>
      </c>
      <c r="C236" t="s">
        <v>65</v>
      </c>
      <c r="D236">
        <v>7</v>
      </c>
      <c r="E236">
        <v>0</v>
      </c>
      <c r="F236">
        <v>7</v>
      </c>
      <c r="G236" s="5">
        <v>30721</v>
      </c>
      <c r="H236">
        <v>85</v>
      </c>
      <c r="I236" t="s">
        <v>69</v>
      </c>
      <c r="J236" s="5">
        <v>4743</v>
      </c>
      <c r="K236">
        <v>85</v>
      </c>
      <c r="L236">
        <f>'KRWSIP_Program_Baseline Data'!H237</f>
        <v>14.7</v>
      </c>
      <c r="M236">
        <v>0</v>
      </c>
      <c r="P236" s="6"/>
      <c r="V236" t="str">
        <f>IF($M236=1,G236,"")</f>
        <v/>
      </c>
    </row>
    <row r="237" spans="2:22" x14ac:dyDescent="0.3">
      <c r="B237">
        <v>324</v>
      </c>
      <c r="C237" t="s">
        <v>64</v>
      </c>
      <c r="D237">
        <v>7</v>
      </c>
      <c r="E237">
        <v>0</v>
      </c>
      <c r="F237">
        <v>7</v>
      </c>
      <c r="G237" s="5">
        <v>31459</v>
      </c>
      <c r="H237">
        <v>80</v>
      </c>
      <c r="I237" t="s">
        <v>69</v>
      </c>
      <c r="J237" s="5">
        <v>4497</v>
      </c>
      <c r="K237">
        <v>80</v>
      </c>
      <c r="L237">
        <f>'KRWSIP_Program_Baseline Data'!H238</f>
        <v>7.4</v>
      </c>
      <c r="M237">
        <v>0</v>
      </c>
      <c r="P237" s="6"/>
      <c r="V237" t="str">
        <f>IF($M237=1,G237,"")</f>
        <v/>
      </c>
    </row>
    <row r="238" spans="2:22" x14ac:dyDescent="0.3">
      <c r="B238">
        <v>42</v>
      </c>
      <c r="C238" t="s">
        <v>65</v>
      </c>
      <c r="D238">
        <v>8</v>
      </c>
      <c r="E238">
        <v>0</v>
      </c>
      <c r="F238">
        <v>8</v>
      </c>
      <c r="G238" s="5">
        <v>30781</v>
      </c>
      <c r="H238">
        <v>109</v>
      </c>
      <c r="I238" t="s">
        <v>67</v>
      </c>
      <c r="J238" s="5">
        <v>6881</v>
      </c>
      <c r="K238">
        <v>109</v>
      </c>
      <c r="L238">
        <f>'KRWSIP_Program_Baseline Data'!H239</f>
        <v>8.9</v>
      </c>
      <c r="M238">
        <v>0</v>
      </c>
      <c r="P238" s="6"/>
      <c r="V238" t="str">
        <f>IF($M238=1,G238,"")</f>
        <v/>
      </c>
    </row>
    <row r="239" spans="2:22" x14ac:dyDescent="0.3">
      <c r="B239">
        <v>172</v>
      </c>
      <c r="C239" t="s">
        <v>64</v>
      </c>
      <c r="D239">
        <v>2</v>
      </c>
      <c r="E239">
        <v>0</v>
      </c>
      <c r="F239">
        <v>2</v>
      </c>
      <c r="G239" s="5">
        <v>24452</v>
      </c>
      <c r="H239">
        <v>63</v>
      </c>
      <c r="I239" t="s">
        <v>68</v>
      </c>
      <c r="J239" s="5">
        <v>2404</v>
      </c>
      <c r="K239">
        <v>63</v>
      </c>
      <c r="L239">
        <f>'KRWSIP_Program_Baseline Data'!H240</f>
        <v>12.3</v>
      </c>
      <c r="M239">
        <v>0</v>
      </c>
      <c r="P239" s="6"/>
      <c r="V239" t="str">
        <f>IF($M239=1,G239,"")</f>
        <v/>
      </c>
    </row>
    <row r="240" spans="2:22" x14ac:dyDescent="0.3">
      <c r="B240">
        <v>313</v>
      </c>
      <c r="C240" t="s">
        <v>63</v>
      </c>
      <c r="D240">
        <v>3</v>
      </c>
      <c r="E240">
        <v>0</v>
      </c>
      <c r="F240">
        <v>3</v>
      </c>
      <c r="G240" s="5">
        <v>29348</v>
      </c>
      <c r="H240">
        <v>115</v>
      </c>
      <c r="I240" t="s">
        <v>68</v>
      </c>
      <c r="J240" s="5">
        <v>3779</v>
      </c>
      <c r="K240">
        <v>115</v>
      </c>
      <c r="L240">
        <f>'KRWSIP_Program_Baseline Data'!H241</f>
        <v>8.6</v>
      </c>
      <c r="M240">
        <v>0</v>
      </c>
      <c r="P240" s="6"/>
      <c r="V240" t="str">
        <f>IF($M240=1,G240,"")</f>
        <v/>
      </c>
    </row>
    <row r="241" spans="2:22" x14ac:dyDescent="0.3">
      <c r="B241">
        <v>1</v>
      </c>
      <c r="C241" t="s">
        <v>63</v>
      </c>
      <c r="D241">
        <v>2</v>
      </c>
      <c r="E241">
        <v>0</v>
      </c>
      <c r="F241">
        <v>2</v>
      </c>
      <c r="G241" s="5">
        <v>32121</v>
      </c>
      <c r="H241">
        <v>87</v>
      </c>
      <c r="I241" t="s">
        <v>68</v>
      </c>
      <c r="J241" s="5">
        <v>3285</v>
      </c>
      <c r="K241">
        <v>87</v>
      </c>
      <c r="L241">
        <f>'KRWSIP_Program_Baseline Data'!H242</f>
        <v>14.1</v>
      </c>
      <c r="M241">
        <v>0</v>
      </c>
      <c r="P241" s="6"/>
      <c r="V241" t="str">
        <f>IF($M241=1,G241,"")</f>
        <v/>
      </c>
    </row>
    <row r="242" spans="2:22" x14ac:dyDescent="0.3">
      <c r="B242">
        <v>75</v>
      </c>
      <c r="C242" t="s">
        <v>64</v>
      </c>
      <c r="D242">
        <v>3</v>
      </c>
      <c r="E242">
        <v>0</v>
      </c>
      <c r="F242">
        <v>3</v>
      </c>
      <c r="G242" s="5">
        <v>27501</v>
      </c>
      <c r="H242">
        <v>56</v>
      </c>
      <c r="I242" t="s">
        <v>69</v>
      </c>
      <c r="J242" s="5">
        <v>2934</v>
      </c>
      <c r="K242">
        <v>56</v>
      </c>
      <c r="L242">
        <f>'KRWSIP_Program_Baseline Data'!H243</f>
        <v>8.5</v>
      </c>
      <c r="M242">
        <v>0</v>
      </c>
      <c r="P242" s="6"/>
      <c r="V242" t="str">
        <f>IF($M242=1,G242,"")</f>
        <v/>
      </c>
    </row>
    <row r="243" spans="2:22" x14ac:dyDescent="0.3">
      <c r="B243">
        <v>388</v>
      </c>
      <c r="C243" t="s">
        <v>62</v>
      </c>
      <c r="D243">
        <v>2</v>
      </c>
      <c r="E243">
        <v>0</v>
      </c>
      <c r="F243">
        <v>2</v>
      </c>
      <c r="G243" s="5">
        <v>25656</v>
      </c>
      <c r="H243">
        <v>17</v>
      </c>
      <c r="I243" t="s">
        <v>69</v>
      </c>
      <c r="J243" s="5">
        <v>3376</v>
      </c>
      <c r="K243">
        <v>17</v>
      </c>
      <c r="L243">
        <f>'KRWSIP_Program_Baseline Data'!H244</f>
        <v>8</v>
      </c>
      <c r="M243">
        <v>0</v>
      </c>
      <c r="P243" s="6"/>
      <c r="V243" t="str">
        <f>IF($M243=1,G243,"")</f>
        <v/>
      </c>
    </row>
    <row r="244" spans="2:22" x14ac:dyDescent="0.3">
      <c r="B244">
        <v>223</v>
      </c>
      <c r="C244" t="s">
        <v>63</v>
      </c>
      <c r="D244">
        <v>7</v>
      </c>
      <c r="E244">
        <v>0</v>
      </c>
      <c r="F244">
        <v>7</v>
      </c>
      <c r="G244" s="5">
        <v>28111</v>
      </c>
      <c r="H244">
        <v>100</v>
      </c>
      <c r="I244" t="s">
        <v>69</v>
      </c>
      <c r="J244" s="5">
        <v>4652</v>
      </c>
      <c r="K244">
        <v>100</v>
      </c>
      <c r="L244">
        <f>'KRWSIP_Program_Baseline Data'!H245</f>
        <v>2</v>
      </c>
      <c r="M244">
        <v>0</v>
      </c>
      <c r="P244" s="6"/>
      <c r="V244" t="str">
        <f>IF($M244=1,G244,"")</f>
        <v/>
      </c>
    </row>
    <row r="245" spans="2:22" x14ac:dyDescent="0.3">
      <c r="B245">
        <v>255</v>
      </c>
      <c r="C245" t="s">
        <v>64</v>
      </c>
      <c r="D245">
        <v>4</v>
      </c>
      <c r="E245">
        <v>0</v>
      </c>
      <c r="F245">
        <v>4</v>
      </c>
      <c r="G245" s="5">
        <v>27997</v>
      </c>
      <c r="H245">
        <v>40</v>
      </c>
      <c r="I245" t="s">
        <v>68</v>
      </c>
      <c r="J245" s="5">
        <v>5067</v>
      </c>
      <c r="K245">
        <v>40</v>
      </c>
      <c r="L245">
        <f>'KRWSIP_Program_Baseline Data'!H246</f>
        <v>4.9000000000000004</v>
      </c>
      <c r="M245">
        <v>0</v>
      </c>
      <c r="P245" s="6"/>
      <c r="V245" t="str">
        <f>IF($M245=1,G245,"")</f>
        <v/>
      </c>
    </row>
    <row r="246" spans="2:22" x14ac:dyDescent="0.3">
      <c r="B246">
        <v>160</v>
      </c>
      <c r="C246" t="s">
        <v>62</v>
      </c>
      <c r="D246">
        <v>4</v>
      </c>
      <c r="E246">
        <v>0</v>
      </c>
      <c r="F246">
        <v>4</v>
      </c>
      <c r="G246" s="5">
        <v>20243</v>
      </c>
      <c r="H246">
        <v>41</v>
      </c>
      <c r="I246" t="s">
        <v>66</v>
      </c>
      <c r="J246" s="5">
        <v>4815</v>
      </c>
      <c r="K246">
        <v>41</v>
      </c>
      <c r="L246">
        <f>'KRWSIP_Program_Baseline Data'!H247</f>
        <v>0.9</v>
      </c>
      <c r="M246">
        <v>0</v>
      </c>
      <c r="P246" s="6"/>
      <c r="V246" t="str">
        <f>IF($M246=1,G246,"")</f>
        <v/>
      </c>
    </row>
    <row r="247" spans="2:22" x14ac:dyDescent="0.3">
      <c r="B247">
        <v>130</v>
      </c>
      <c r="C247" t="s">
        <v>64</v>
      </c>
      <c r="D247">
        <v>3</v>
      </c>
      <c r="E247">
        <v>0</v>
      </c>
      <c r="F247">
        <v>3</v>
      </c>
      <c r="G247" s="5">
        <v>15965</v>
      </c>
      <c r="H247">
        <v>35</v>
      </c>
      <c r="I247" t="s">
        <v>67</v>
      </c>
      <c r="J247" s="5">
        <v>3598</v>
      </c>
      <c r="K247">
        <v>35</v>
      </c>
      <c r="L247">
        <f>'KRWSIP_Program_Baseline Data'!H248</f>
        <v>13.8</v>
      </c>
      <c r="M247">
        <v>0</v>
      </c>
      <c r="P247" s="6"/>
      <c r="V247" t="str">
        <f>IF($M247=1,G247,"")</f>
        <v/>
      </c>
    </row>
    <row r="248" spans="2:22" x14ac:dyDescent="0.3">
      <c r="B248">
        <v>145</v>
      </c>
      <c r="C248" t="s">
        <v>63</v>
      </c>
      <c r="D248">
        <v>8</v>
      </c>
      <c r="E248">
        <v>0</v>
      </c>
      <c r="F248">
        <v>8</v>
      </c>
      <c r="G248" s="5">
        <v>44111</v>
      </c>
      <c r="H248">
        <v>90</v>
      </c>
      <c r="I248" t="s">
        <v>68</v>
      </c>
      <c r="J248" s="5">
        <v>5014</v>
      </c>
      <c r="K248">
        <v>90</v>
      </c>
      <c r="L248">
        <f>'KRWSIP_Program_Baseline Data'!H249</f>
        <v>0.8</v>
      </c>
      <c r="M248">
        <v>0</v>
      </c>
      <c r="P248" s="6"/>
      <c r="V248" t="str">
        <f>IF($M248=1,G248,"")</f>
        <v/>
      </c>
    </row>
    <row r="249" spans="2:22" x14ac:dyDescent="0.3">
      <c r="B249">
        <v>213</v>
      </c>
      <c r="C249" t="s">
        <v>64</v>
      </c>
      <c r="D249">
        <v>7</v>
      </c>
      <c r="E249">
        <v>0</v>
      </c>
      <c r="F249">
        <v>7</v>
      </c>
      <c r="G249" s="5">
        <v>32227</v>
      </c>
      <c r="H249">
        <v>33</v>
      </c>
      <c r="I249" t="s">
        <v>68</v>
      </c>
      <c r="J249" s="5">
        <v>5918</v>
      </c>
      <c r="K249">
        <v>33</v>
      </c>
      <c r="L249">
        <f>'KRWSIP_Program_Baseline Data'!H250</f>
        <v>8.8000000000000007</v>
      </c>
      <c r="M249">
        <v>0</v>
      </c>
      <c r="P249" s="6"/>
      <c r="V249" t="str">
        <f>IF($M249=1,G249,"")</f>
        <v/>
      </c>
    </row>
    <row r="250" spans="2:22" x14ac:dyDescent="0.3">
      <c r="B250">
        <v>166</v>
      </c>
      <c r="C250" t="s">
        <v>63</v>
      </c>
      <c r="D250">
        <v>2</v>
      </c>
      <c r="E250">
        <v>0</v>
      </c>
      <c r="F250">
        <v>2</v>
      </c>
      <c r="G250" s="5">
        <v>35067</v>
      </c>
      <c r="H250">
        <v>107</v>
      </c>
      <c r="I250" t="s">
        <v>67</v>
      </c>
      <c r="J250" s="5">
        <v>3737</v>
      </c>
      <c r="K250">
        <v>107</v>
      </c>
      <c r="L250">
        <f>'KRWSIP_Program_Baseline Data'!H251</f>
        <v>4.8</v>
      </c>
      <c r="M250">
        <v>0</v>
      </c>
      <c r="P250" s="6"/>
      <c r="V250" t="str">
        <f>IF($M250=1,G250,"")</f>
        <v/>
      </c>
    </row>
    <row r="251" spans="2:22" x14ac:dyDescent="0.3">
      <c r="B251">
        <v>352</v>
      </c>
      <c r="C251" t="s">
        <v>65</v>
      </c>
      <c r="D251">
        <v>5</v>
      </c>
      <c r="E251">
        <v>0</v>
      </c>
      <c r="F251">
        <v>5</v>
      </c>
      <c r="G251" s="5">
        <v>33272</v>
      </c>
      <c r="H251">
        <v>23</v>
      </c>
      <c r="I251" t="s">
        <v>69</v>
      </c>
      <c r="J251" s="5">
        <v>3892</v>
      </c>
      <c r="K251">
        <v>23</v>
      </c>
      <c r="L251">
        <f>'KRWSIP_Program_Baseline Data'!H252</f>
        <v>10.8</v>
      </c>
      <c r="M251">
        <v>0</v>
      </c>
      <c r="P251" s="6"/>
      <c r="V251" t="str">
        <f>IF($M251=1,G251,"")</f>
        <v/>
      </c>
    </row>
    <row r="252" spans="2:22" x14ac:dyDescent="0.3">
      <c r="B252">
        <v>162</v>
      </c>
      <c r="C252" t="s">
        <v>64</v>
      </c>
      <c r="D252">
        <v>6</v>
      </c>
      <c r="E252">
        <v>0</v>
      </c>
      <c r="F252">
        <v>6</v>
      </c>
      <c r="G252" s="5">
        <v>23768</v>
      </c>
      <c r="H252">
        <v>41</v>
      </c>
      <c r="I252" t="s">
        <v>67</v>
      </c>
      <c r="J252" s="5">
        <v>5204</v>
      </c>
      <c r="K252">
        <v>41</v>
      </c>
      <c r="L252">
        <f>'KRWSIP_Program_Baseline Data'!H253</f>
        <v>12.8</v>
      </c>
      <c r="M252">
        <v>0</v>
      </c>
      <c r="P252" s="6"/>
      <c r="V252" t="str">
        <f>IF($M252=1,G252,"")</f>
        <v/>
      </c>
    </row>
    <row r="253" spans="2:22" x14ac:dyDescent="0.3">
      <c r="B253">
        <v>209</v>
      </c>
      <c r="C253" t="s">
        <v>62</v>
      </c>
      <c r="D253">
        <v>4</v>
      </c>
      <c r="E253">
        <v>0</v>
      </c>
      <c r="F253">
        <v>4</v>
      </c>
      <c r="G253" s="5">
        <v>30924</v>
      </c>
      <c r="H253">
        <v>26</v>
      </c>
      <c r="I253" t="s">
        <v>68</v>
      </c>
      <c r="J253" s="5">
        <v>5016</v>
      </c>
      <c r="K253">
        <v>26</v>
      </c>
      <c r="L253">
        <f>'KRWSIP_Program_Baseline Data'!H254</f>
        <v>1.3</v>
      </c>
      <c r="M253">
        <v>0</v>
      </c>
      <c r="P253" s="6"/>
      <c r="V253" t="str">
        <f>IF($M253=1,G253,"")</f>
        <v/>
      </c>
    </row>
    <row r="254" spans="2:22" x14ac:dyDescent="0.3">
      <c r="B254">
        <v>151</v>
      </c>
      <c r="C254" t="s">
        <v>64</v>
      </c>
      <c r="D254">
        <v>6</v>
      </c>
      <c r="E254">
        <v>0</v>
      </c>
      <c r="F254">
        <v>6</v>
      </c>
      <c r="G254" s="5">
        <v>27949</v>
      </c>
      <c r="H254">
        <v>15</v>
      </c>
      <c r="I254" t="s">
        <v>68</v>
      </c>
      <c r="J254" s="5">
        <v>4232</v>
      </c>
      <c r="K254">
        <v>15</v>
      </c>
      <c r="L254">
        <f>'KRWSIP_Program_Baseline Data'!H255</f>
        <v>13.9</v>
      </c>
      <c r="M254">
        <v>0</v>
      </c>
      <c r="P254" s="6"/>
      <c r="V254" t="str">
        <f>IF($M254=1,G254,"")</f>
        <v/>
      </c>
    </row>
    <row r="255" spans="2:22" x14ac:dyDescent="0.3">
      <c r="B255">
        <v>389</v>
      </c>
      <c r="C255" t="s">
        <v>63</v>
      </c>
      <c r="D255">
        <v>8</v>
      </c>
      <c r="E255">
        <v>0</v>
      </c>
      <c r="F255">
        <v>8</v>
      </c>
      <c r="G255" s="5">
        <v>31868</v>
      </c>
      <c r="H255">
        <v>36</v>
      </c>
      <c r="I255" t="s">
        <v>68</v>
      </c>
      <c r="J255" s="5">
        <v>5429</v>
      </c>
      <c r="K255">
        <v>36</v>
      </c>
      <c r="L255">
        <f>'KRWSIP_Program_Baseline Data'!H256</f>
        <v>7.4</v>
      </c>
      <c r="M255">
        <v>0</v>
      </c>
      <c r="P255" s="6"/>
      <c r="V255" t="str">
        <f>IF($M255=1,G255,"")</f>
        <v/>
      </c>
    </row>
    <row r="256" spans="2:22" x14ac:dyDescent="0.3">
      <c r="B256">
        <v>312</v>
      </c>
      <c r="C256" t="s">
        <v>62</v>
      </c>
      <c r="D256">
        <v>4</v>
      </c>
      <c r="E256">
        <v>0</v>
      </c>
      <c r="F256">
        <v>4</v>
      </c>
      <c r="G256" s="5">
        <v>31446</v>
      </c>
      <c r="H256">
        <v>31</v>
      </c>
      <c r="I256" t="s">
        <v>68</v>
      </c>
      <c r="J256" s="5">
        <v>3494</v>
      </c>
      <c r="K256">
        <v>31</v>
      </c>
      <c r="L256">
        <f>'KRWSIP_Program_Baseline Data'!H257</f>
        <v>2.9</v>
      </c>
      <c r="M256">
        <v>0</v>
      </c>
      <c r="P256" s="6"/>
      <c r="V256" t="str">
        <f>IF($M256=1,G256,"")</f>
        <v/>
      </c>
    </row>
    <row r="257" spans="2:22" x14ac:dyDescent="0.3">
      <c r="B257">
        <v>330</v>
      </c>
      <c r="C257" t="s">
        <v>64</v>
      </c>
      <c r="D257">
        <v>5</v>
      </c>
      <c r="E257">
        <v>0</v>
      </c>
      <c r="F257">
        <v>5</v>
      </c>
      <c r="G257" s="5">
        <v>31054</v>
      </c>
      <c r="H257">
        <v>90</v>
      </c>
      <c r="I257" t="s">
        <v>66</v>
      </c>
      <c r="J257" s="5">
        <v>4078</v>
      </c>
      <c r="K257">
        <v>90</v>
      </c>
      <c r="L257">
        <f>'KRWSIP_Program_Baseline Data'!H258</f>
        <v>0.5</v>
      </c>
      <c r="M257">
        <v>0</v>
      </c>
      <c r="P257" s="6"/>
      <c r="V257" t="str">
        <f>IF($M257=1,G257,"")</f>
        <v/>
      </c>
    </row>
    <row r="258" spans="2:22" x14ac:dyDescent="0.3">
      <c r="B258">
        <v>40</v>
      </c>
      <c r="C258" t="s">
        <v>62</v>
      </c>
      <c r="D258">
        <v>5</v>
      </c>
      <c r="E258">
        <v>0</v>
      </c>
      <c r="F258">
        <v>5</v>
      </c>
      <c r="G258" s="5">
        <v>21741</v>
      </c>
      <c r="H258">
        <v>102</v>
      </c>
      <c r="I258" t="s">
        <v>66</v>
      </c>
      <c r="J258" s="5">
        <v>5536</v>
      </c>
      <c r="K258">
        <v>102</v>
      </c>
      <c r="L258">
        <f>'KRWSIP_Program_Baseline Data'!H259</f>
        <v>11.1</v>
      </c>
      <c r="M258">
        <v>0</v>
      </c>
      <c r="P258" s="6"/>
      <c r="V258" t="str">
        <f>IF($M258=1,G258,"")</f>
        <v/>
      </c>
    </row>
    <row r="259" spans="2:22" x14ac:dyDescent="0.3">
      <c r="B259">
        <v>236</v>
      </c>
      <c r="C259" t="s">
        <v>64</v>
      </c>
      <c r="D259">
        <v>8</v>
      </c>
      <c r="E259">
        <v>0</v>
      </c>
      <c r="F259">
        <v>8</v>
      </c>
      <c r="G259" s="5">
        <v>23543</v>
      </c>
      <c r="H259">
        <v>25</v>
      </c>
      <c r="I259" t="s">
        <v>67</v>
      </c>
      <c r="J259" s="5">
        <v>4497</v>
      </c>
      <c r="K259">
        <v>25</v>
      </c>
      <c r="L259">
        <f>'KRWSIP_Program_Baseline Data'!H260</f>
        <v>2.5</v>
      </c>
      <c r="M259">
        <v>0</v>
      </c>
      <c r="P259" s="6"/>
      <c r="V259" t="str">
        <f>IF($M259=1,G259,"")</f>
        <v/>
      </c>
    </row>
    <row r="260" spans="2:22" x14ac:dyDescent="0.3">
      <c r="B260">
        <v>177</v>
      </c>
      <c r="C260" t="s">
        <v>63</v>
      </c>
      <c r="D260">
        <v>6</v>
      </c>
      <c r="E260">
        <v>0</v>
      </c>
      <c r="F260">
        <v>6</v>
      </c>
      <c r="G260" s="5">
        <v>31363</v>
      </c>
      <c r="H260">
        <v>87</v>
      </c>
      <c r="I260" t="s">
        <v>67</v>
      </c>
      <c r="J260" s="5">
        <v>4165</v>
      </c>
      <c r="K260">
        <v>87</v>
      </c>
      <c r="L260">
        <f>'KRWSIP_Program_Baseline Data'!H261</f>
        <v>3.3</v>
      </c>
      <c r="M260">
        <v>0</v>
      </c>
      <c r="P260" s="6"/>
      <c r="V260" t="str">
        <f>IF($M260=1,G260,"")</f>
        <v/>
      </c>
    </row>
    <row r="261" spans="2:22" x14ac:dyDescent="0.3">
      <c r="B261">
        <v>185</v>
      </c>
      <c r="C261" t="s">
        <v>64</v>
      </c>
      <c r="D261">
        <v>3</v>
      </c>
      <c r="E261">
        <v>0</v>
      </c>
      <c r="F261">
        <v>3</v>
      </c>
      <c r="G261" s="5">
        <v>37995</v>
      </c>
      <c r="H261">
        <v>87</v>
      </c>
      <c r="I261" t="s">
        <v>68</v>
      </c>
      <c r="J261" s="5">
        <v>3976</v>
      </c>
      <c r="K261">
        <v>87</v>
      </c>
      <c r="L261">
        <f>'KRWSIP_Program_Baseline Data'!H262</f>
        <v>8</v>
      </c>
      <c r="M261">
        <v>0</v>
      </c>
      <c r="P261" s="6"/>
      <c r="V261" t="str">
        <f>IF($M261=1,G261,"")</f>
        <v/>
      </c>
    </row>
    <row r="262" spans="2:22" x14ac:dyDescent="0.3">
      <c r="B262">
        <v>92</v>
      </c>
      <c r="C262" t="s">
        <v>63</v>
      </c>
      <c r="D262">
        <v>6</v>
      </c>
      <c r="E262">
        <v>0</v>
      </c>
      <c r="F262">
        <v>6</v>
      </c>
      <c r="G262" s="5">
        <v>18823</v>
      </c>
      <c r="H262">
        <v>108</v>
      </c>
      <c r="I262" t="s">
        <v>67</v>
      </c>
      <c r="J262" s="5">
        <v>6118</v>
      </c>
      <c r="K262">
        <v>108</v>
      </c>
      <c r="L262">
        <f>'KRWSIP_Program_Baseline Data'!H263</f>
        <v>5.5</v>
      </c>
      <c r="M262">
        <v>0</v>
      </c>
      <c r="P262" s="6"/>
      <c r="V262" t="str">
        <f>IF($M262=1,G262,"")</f>
        <v/>
      </c>
    </row>
    <row r="263" spans="2:22" x14ac:dyDescent="0.3">
      <c r="B263">
        <v>22</v>
      </c>
      <c r="C263" t="s">
        <v>63</v>
      </c>
      <c r="D263">
        <v>6</v>
      </c>
      <c r="E263">
        <v>0</v>
      </c>
      <c r="F263">
        <v>6</v>
      </c>
      <c r="G263" s="5">
        <v>29731</v>
      </c>
      <c r="H263">
        <v>23</v>
      </c>
      <c r="I263" t="s">
        <v>67</v>
      </c>
      <c r="J263" s="5">
        <v>5988</v>
      </c>
      <c r="K263">
        <v>23</v>
      </c>
      <c r="L263">
        <f>'KRWSIP_Program_Baseline Data'!H264</f>
        <v>8.6</v>
      </c>
      <c r="M263">
        <v>0</v>
      </c>
      <c r="P263" s="6"/>
      <c r="V263" t="str">
        <f>IF($M263=1,G263,"")</f>
        <v/>
      </c>
    </row>
    <row r="264" spans="2:22" x14ac:dyDescent="0.3">
      <c r="B264">
        <v>286</v>
      </c>
      <c r="C264" t="s">
        <v>63</v>
      </c>
      <c r="D264">
        <v>4</v>
      </c>
      <c r="E264">
        <v>0</v>
      </c>
      <c r="F264">
        <v>4</v>
      </c>
      <c r="G264" s="5">
        <v>42205</v>
      </c>
      <c r="H264">
        <v>78</v>
      </c>
      <c r="I264" t="s">
        <v>68</v>
      </c>
      <c r="J264" s="5">
        <v>5013</v>
      </c>
      <c r="K264">
        <v>78</v>
      </c>
      <c r="L264">
        <f>'KRWSIP_Program_Baseline Data'!H265</f>
        <v>13.4</v>
      </c>
      <c r="M264">
        <v>0</v>
      </c>
      <c r="P264" s="6"/>
      <c r="V264" t="str">
        <f>IF($M264=1,G264,"")</f>
        <v/>
      </c>
    </row>
    <row r="265" spans="2:22" x14ac:dyDescent="0.3">
      <c r="B265">
        <v>257</v>
      </c>
      <c r="C265" t="s">
        <v>64</v>
      </c>
      <c r="D265">
        <v>3</v>
      </c>
      <c r="E265">
        <v>0</v>
      </c>
      <c r="F265">
        <v>3</v>
      </c>
      <c r="G265" s="5">
        <v>33592</v>
      </c>
      <c r="H265">
        <v>22</v>
      </c>
      <c r="I265" t="s">
        <v>68</v>
      </c>
      <c r="J265" s="5">
        <v>4343</v>
      </c>
      <c r="K265">
        <v>22</v>
      </c>
      <c r="L265">
        <f>'KRWSIP_Program_Baseline Data'!H266</f>
        <v>2.2999999999999998</v>
      </c>
      <c r="M265">
        <v>0</v>
      </c>
      <c r="P265" s="6"/>
      <c r="V265" t="str">
        <f>IF($M265=1,G265,"")</f>
        <v/>
      </c>
    </row>
    <row r="266" spans="2:22" x14ac:dyDescent="0.3">
      <c r="B266">
        <v>350</v>
      </c>
      <c r="C266" t="s">
        <v>65</v>
      </c>
      <c r="D266">
        <v>5</v>
      </c>
      <c r="E266">
        <v>0</v>
      </c>
      <c r="F266">
        <v>5</v>
      </c>
      <c r="G266" s="5">
        <v>17359</v>
      </c>
      <c r="H266">
        <v>109</v>
      </c>
      <c r="I266" t="s">
        <v>67</v>
      </c>
      <c r="J266" s="5">
        <v>3490</v>
      </c>
      <c r="K266">
        <v>109</v>
      </c>
      <c r="L266">
        <f>'KRWSIP_Program_Baseline Data'!H267</f>
        <v>10.3</v>
      </c>
      <c r="M266">
        <v>0</v>
      </c>
      <c r="P266" s="6"/>
      <c r="V266" t="str">
        <f>IF($M266=1,G266,"")</f>
        <v/>
      </c>
    </row>
    <row r="267" spans="2:22" x14ac:dyDescent="0.3">
      <c r="B267">
        <v>148</v>
      </c>
      <c r="C267" t="s">
        <v>64</v>
      </c>
      <c r="D267">
        <v>8</v>
      </c>
      <c r="E267">
        <v>0</v>
      </c>
      <c r="F267">
        <v>8</v>
      </c>
      <c r="G267" s="5">
        <v>37713</v>
      </c>
      <c r="H267">
        <v>109</v>
      </c>
      <c r="I267" t="s">
        <v>69</v>
      </c>
      <c r="J267" s="5">
        <v>4954</v>
      </c>
      <c r="K267">
        <v>109</v>
      </c>
      <c r="L267">
        <f>'KRWSIP_Program_Baseline Data'!H268</f>
        <v>4.2</v>
      </c>
      <c r="M267">
        <v>0</v>
      </c>
      <c r="P267" s="6"/>
      <c r="V267" t="str">
        <f>IF($M267=1,G267,"")</f>
        <v/>
      </c>
    </row>
    <row r="268" spans="2:22" x14ac:dyDescent="0.3">
      <c r="B268">
        <v>306</v>
      </c>
      <c r="C268" t="s">
        <v>65</v>
      </c>
      <c r="D268">
        <v>6</v>
      </c>
      <c r="E268">
        <v>0</v>
      </c>
      <c r="F268">
        <v>6</v>
      </c>
      <c r="G268" s="5">
        <v>32189</v>
      </c>
      <c r="H268">
        <v>64</v>
      </c>
      <c r="I268" t="s">
        <v>68</v>
      </c>
      <c r="J268" s="5">
        <v>3725</v>
      </c>
      <c r="K268">
        <v>64</v>
      </c>
      <c r="L268">
        <f>'KRWSIP_Program_Baseline Data'!H269</f>
        <v>13.7</v>
      </c>
      <c r="M268">
        <v>0</v>
      </c>
      <c r="P268" s="6"/>
      <c r="V268" t="str">
        <f>IF($M268=1,G268,"")</f>
        <v/>
      </c>
    </row>
    <row r="269" spans="2:22" x14ac:dyDescent="0.3">
      <c r="B269">
        <v>328</v>
      </c>
      <c r="C269" t="s">
        <v>62</v>
      </c>
      <c r="D269">
        <v>7</v>
      </c>
      <c r="E269">
        <v>0</v>
      </c>
      <c r="F269">
        <v>7</v>
      </c>
      <c r="G269" s="5">
        <v>22721</v>
      </c>
      <c r="H269">
        <v>36</v>
      </c>
      <c r="I269" t="s">
        <v>67</v>
      </c>
      <c r="J269" s="5">
        <v>5857</v>
      </c>
      <c r="K269">
        <v>36</v>
      </c>
      <c r="L269">
        <f>'KRWSIP_Program_Baseline Data'!H270</f>
        <v>3.6</v>
      </c>
      <c r="M269">
        <v>0</v>
      </c>
      <c r="P269" s="6"/>
      <c r="V269" t="str">
        <f>IF($M269=1,G269,"")</f>
        <v/>
      </c>
    </row>
    <row r="270" spans="2:22" x14ac:dyDescent="0.3">
      <c r="B270">
        <v>142</v>
      </c>
      <c r="C270" t="s">
        <v>64</v>
      </c>
      <c r="D270">
        <v>6</v>
      </c>
      <c r="E270">
        <v>0</v>
      </c>
      <c r="F270">
        <v>6</v>
      </c>
      <c r="G270" s="5">
        <v>35492</v>
      </c>
      <c r="H270">
        <v>21</v>
      </c>
      <c r="I270" t="s">
        <v>69</v>
      </c>
      <c r="J270" s="5">
        <v>4133</v>
      </c>
      <c r="K270">
        <v>21</v>
      </c>
      <c r="L270">
        <f>'KRWSIP_Program_Baseline Data'!H271</f>
        <v>6</v>
      </c>
      <c r="M270">
        <v>0</v>
      </c>
      <c r="P270" s="6"/>
      <c r="V270" t="str">
        <f>IF($M270=1,G270,"")</f>
        <v/>
      </c>
    </row>
    <row r="271" spans="2:22" x14ac:dyDescent="0.3">
      <c r="B271">
        <v>397</v>
      </c>
      <c r="C271" t="s">
        <v>63</v>
      </c>
      <c r="D271">
        <v>6</v>
      </c>
      <c r="E271">
        <v>0</v>
      </c>
      <c r="F271">
        <v>6</v>
      </c>
      <c r="G271" s="5">
        <v>40615</v>
      </c>
      <c r="H271">
        <v>69</v>
      </c>
      <c r="I271" t="s">
        <v>66</v>
      </c>
      <c r="J271" s="5">
        <v>4841</v>
      </c>
      <c r="K271">
        <v>69</v>
      </c>
      <c r="L271">
        <f>'KRWSIP_Program_Baseline Data'!H272</f>
        <v>3.5</v>
      </c>
      <c r="M271">
        <v>0</v>
      </c>
      <c r="P271" s="6"/>
      <c r="V271" t="str">
        <f>IF($M271=1,G271,"")</f>
        <v/>
      </c>
    </row>
    <row r="272" spans="2:22" x14ac:dyDescent="0.3">
      <c r="B272">
        <v>80</v>
      </c>
      <c r="C272" t="s">
        <v>62</v>
      </c>
      <c r="D272">
        <v>2</v>
      </c>
      <c r="E272">
        <v>0</v>
      </c>
      <c r="F272">
        <v>2</v>
      </c>
      <c r="G272" s="5">
        <v>40287</v>
      </c>
      <c r="H272">
        <v>43</v>
      </c>
      <c r="I272" t="s">
        <v>68</v>
      </c>
      <c r="J272" s="5">
        <v>4119</v>
      </c>
      <c r="K272">
        <v>43</v>
      </c>
      <c r="L272">
        <f>'KRWSIP_Program_Baseline Data'!H273</f>
        <v>7.7</v>
      </c>
      <c r="M272">
        <v>0</v>
      </c>
      <c r="P272" s="6"/>
      <c r="V272" t="str">
        <f>IF($M272=1,G272,"")</f>
        <v/>
      </c>
    </row>
    <row r="273" spans="2:22" x14ac:dyDescent="0.3">
      <c r="B273">
        <v>43</v>
      </c>
      <c r="C273" t="s">
        <v>64</v>
      </c>
      <c r="D273">
        <v>7</v>
      </c>
      <c r="E273">
        <v>0</v>
      </c>
      <c r="F273">
        <v>7</v>
      </c>
      <c r="G273" s="5">
        <v>33508</v>
      </c>
      <c r="H273">
        <v>111</v>
      </c>
      <c r="I273" t="s">
        <v>67</v>
      </c>
      <c r="J273" s="5">
        <v>6421</v>
      </c>
      <c r="K273">
        <v>111</v>
      </c>
      <c r="L273">
        <f>'KRWSIP_Program_Baseline Data'!H274</f>
        <v>4</v>
      </c>
      <c r="M273">
        <v>0</v>
      </c>
      <c r="P273" s="6"/>
      <c r="V273" t="str">
        <f>IF($M273=1,G273,"")</f>
        <v/>
      </c>
    </row>
    <row r="274" spans="2:22" x14ac:dyDescent="0.3">
      <c r="B274">
        <v>197</v>
      </c>
      <c r="C274" t="s">
        <v>62</v>
      </c>
      <c r="D274">
        <v>8</v>
      </c>
      <c r="E274">
        <v>0</v>
      </c>
      <c r="F274">
        <v>8</v>
      </c>
      <c r="G274" s="5">
        <v>21300</v>
      </c>
      <c r="H274">
        <v>102</v>
      </c>
      <c r="I274" t="s">
        <v>67</v>
      </c>
      <c r="J274" s="5">
        <v>6098</v>
      </c>
      <c r="K274">
        <v>102</v>
      </c>
      <c r="L274">
        <f>'KRWSIP_Program_Baseline Data'!H275</f>
        <v>10.199999999999999</v>
      </c>
      <c r="M274">
        <v>0</v>
      </c>
      <c r="P274" s="6"/>
      <c r="V274" t="str">
        <f>IF($M274=1,G274,"")</f>
        <v/>
      </c>
    </row>
    <row r="275" spans="2:22" x14ac:dyDescent="0.3">
      <c r="B275">
        <v>319</v>
      </c>
      <c r="C275" t="s">
        <v>64</v>
      </c>
      <c r="D275">
        <v>3</v>
      </c>
      <c r="E275">
        <v>0</v>
      </c>
      <c r="F275">
        <v>3</v>
      </c>
      <c r="G275" s="5">
        <v>31521</v>
      </c>
      <c r="H275">
        <v>71</v>
      </c>
      <c r="I275" t="s">
        <v>67</v>
      </c>
      <c r="J275" s="5">
        <v>4541</v>
      </c>
      <c r="K275">
        <v>71</v>
      </c>
      <c r="L275">
        <f>'KRWSIP_Program_Baseline Data'!H276</f>
        <v>0.5</v>
      </c>
      <c r="M275">
        <v>0</v>
      </c>
      <c r="P275" s="6"/>
      <c r="V275" t="str">
        <f>IF($M275=1,G275,"")</f>
        <v/>
      </c>
    </row>
    <row r="276" spans="2:22" x14ac:dyDescent="0.3">
      <c r="B276">
        <v>221</v>
      </c>
      <c r="C276" t="s">
        <v>65</v>
      </c>
      <c r="D276">
        <v>2</v>
      </c>
      <c r="E276">
        <v>0</v>
      </c>
      <c r="F276">
        <v>2</v>
      </c>
      <c r="G276" s="5">
        <v>23475</v>
      </c>
      <c r="H276">
        <v>64</v>
      </c>
      <c r="I276" t="s">
        <v>67</v>
      </c>
      <c r="J276" s="5">
        <v>4341</v>
      </c>
      <c r="K276">
        <v>64</v>
      </c>
      <c r="L276">
        <f>'KRWSIP_Program_Baseline Data'!H277</f>
        <v>6.5</v>
      </c>
      <c r="M276">
        <v>0</v>
      </c>
      <c r="P276" s="6"/>
      <c r="V276" t="str">
        <f>IF($M276=1,G276,"")</f>
        <v/>
      </c>
    </row>
    <row r="277" spans="2:22" x14ac:dyDescent="0.3">
      <c r="B277">
        <v>86</v>
      </c>
      <c r="C277" t="s">
        <v>64</v>
      </c>
      <c r="D277">
        <v>6</v>
      </c>
      <c r="E277">
        <v>0</v>
      </c>
      <c r="F277">
        <v>6</v>
      </c>
      <c r="G277" s="5">
        <v>21594</v>
      </c>
      <c r="H277">
        <v>88</v>
      </c>
      <c r="I277" t="s">
        <v>68</v>
      </c>
      <c r="J277" s="5">
        <v>4600</v>
      </c>
      <c r="K277">
        <v>88</v>
      </c>
      <c r="L277">
        <f>'KRWSIP_Program_Baseline Data'!H278</f>
        <v>13.6</v>
      </c>
      <c r="M277">
        <v>0</v>
      </c>
      <c r="P277" s="6"/>
      <c r="V277" t="str">
        <f>IF($M277=1,G277,"")</f>
        <v/>
      </c>
    </row>
    <row r="278" spans="2:22" x14ac:dyDescent="0.3">
      <c r="B278">
        <v>194</v>
      </c>
      <c r="C278" t="s">
        <v>62</v>
      </c>
      <c r="D278">
        <v>4</v>
      </c>
      <c r="E278">
        <v>0</v>
      </c>
      <c r="F278">
        <v>4</v>
      </c>
      <c r="G278" s="5">
        <v>41069</v>
      </c>
      <c r="H278">
        <v>24</v>
      </c>
      <c r="I278" t="s">
        <v>68</v>
      </c>
      <c r="J278" s="5">
        <v>5327</v>
      </c>
      <c r="K278">
        <v>24</v>
      </c>
      <c r="L278">
        <f>'KRWSIP_Program_Baseline Data'!H279</f>
        <v>10.199999999999999</v>
      </c>
      <c r="M278">
        <v>0</v>
      </c>
      <c r="P278" s="6"/>
      <c r="V278" t="str">
        <f>IF($M278=1,G278,"")</f>
        <v/>
      </c>
    </row>
    <row r="279" spans="2:22" x14ac:dyDescent="0.3">
      <c r="B279">
        <v>155</v>
      </c>
      <c r="C279" t="s">
        <v>65</v>
      </c>
      <c r="D279">
        <v>6</v>
      </c>
      <c r="E279">
        <v>0</v>
      </c>
      <c r="F279">
        <v>6</v>
      </c>
      <c r="G279" s="5">
        <v>34571</v>
      </c>
      <c r="H279">
        <v>23</v>
      </c>
      <c r="I279" t="s">
        <v>68</v>
      </c>
      <c r="J279" s="5">
        <v>4370</v>
      </c>
      <c r="K279">
        <v>23</v>
      </c>
      <c r="L279">
        <f>'KRWSIP_Program_Baseline Data'!H280</f>
        <v>10</v>
      </c>
      <c r="M279">
        <v>0</v>
      </c>
      <c r="P279" s="6"/>
      <c r="V279" t="str">
        <f>IF($M279=1,G279,"")</f>
        <v/>
      </c>
    </row>
    <row r="280" spans="2:22" x14ac:dyDescent="0.3">
      <c r="B280">
        <v>287</v>
      </c>
      <c r="C280" t="s">
        <v>63</v>
      </c>
      <c r="D280">
        <v>3</v>
      </c>
      <c r="E280">
        <v>0</v>
      </c>
      <c r="F280">
        <v>3</v>
      </c>
      <c r="G280" s="5">
        <v>36009</v>
      </c>
      <c r="H280">
        <v>65</v>
      </c>
      <c r="I280" t="s">
        <v>67</v>
      </c>
      <c r="J280" s="5">
        <v>2685</v>
      </c>
      <c r="K280">
        <v>65</v>
      </c>
      <c r="L280">
        <f>'KRWSIP_Program_Baseline Data'!H281</f>
        <v>2.4</v>
      </c>
      <c r="M280">
        <v>0</v>
      </c>
      <c r="P280" s="6"/>
      <c r="V280" t="str">
        <f>IF($M280=1,G280,"")</f>
        <v/>
      </c>
    </row>
    <row r="281" spans="2:22" x14ac:dyDescent="0.3">
      <c r="B281">
        <v>39</v>
      </c>
      <c r="C281" t="s">
        <v>62</v>
      </c>
      <c r="D281">
        <v>8</v>
      </c>
      <c r="E281">
        <v>0</v>
      </c>
      <c r="F281">
        <v>8</v>
      </c>
      <c r="G281" s="5">
        <v>32879</v>
      </c>
      <c r="H281">
        <v>34</v>
      </c>
      <c r="I281" t="s">
        <v>66</v>
      </c>
      <c r="J281" s="5">
        <v>5198</v>
      </c>
      <c r="K281">
        <v>34</v>
      </c>
      <c r="L281">
        <f>'KRWSIP_Program_Baseline Data'!H282</f>
        <v>6.3</v>
      </c>
      <c r="M281">
        <v>0</v>
      </c>
      <c r="P281" s="6"/>
      <c r="V281" t="str">
        <f>IF($M281=1,G281,"")</f>
        <v/>
      </c>
    </row>
    <row r="282" spans="2:22" x14ac:dyDescent="0.3">
      <c r="B282">
        <v>20</v>
      </c>
      <c r="C282" t="s">
        <v>62</v>
      </c>
      <c r="D282">
        <v>7</v>
      </c>
      <c r="E282">
        <v>0</v>
      </c>
      <c r="F282">
        <v>7</v>
      </c>
      <c r="G282" s="5">
        <v>21146</v>
      </c>
      <c r="H282">
        <v>88</v>
      </c>
      <c r="I282" t="s">
        <v>67</v>
      </c>
      <c r="J282" s="5">
        <v>4290</v>
      </c>
      <c r="K282">
        <v>88</v>
      </c>
      <c r="L282">
        <f>'KRWSIP_Program_Baseline Data'!H283</f>
        <v>9.6</v>
      </c>
      <c r="M282">
        <v>0</v>
      </c>
      <c r="P282" s="6"/>
      <c r="V282" t="str">
        <f>IF($M282=1,G282,"")</f>
        <v/>
      </c>
    </row>
    <row r="283" spans="2:22" x14ac:dyDescent="0.3">
      <c r="B283">
        <v>277</v>
      </c>
      <c r="C283" t="s">
        <v>63</v>
      </c>
      <c r="D283">
        <v>8</v>
      </c>
      <c r="E283">
        <v>0</v>
      </c>
      <c r="F283">
        <v>8</v>
      </c>
      <c r="G283" s="5">
        <v>33208</v>
      </c>
      <c r="H283">
        <v>33</v>
      </c>
      <c r="I283" t="s">
        <v>67</v>
      </c>
      <c r="J283" s="5">
        <v>5848</v>
      </c>
      <c r="K283">
        <v>33</v>
      </c>
      <c r="L283">
        <f>'KRWSIP_Program_Baseline Data'!H284</f>
        <v>4.5</v>
      </c>
      <c r="M283">
        <v>0</v>
      </c>
      <c r="P283" s="6"/>
      <c r="V283" t="str">
        <f>IF($M283=1,G283,"")</f>
        <v/>
      </c>
    </row>
    <row r="284" spans="2:22" x14ac:dyDescent="0.3">
      <c r="B284">
        <v>111</v>
      </c>
      <c r="C284" t="s">
        <v>65</v>
      </c>
      <c r="D284">
        <v>3</v>
      </c>
      <c r="E284">
        <v>0</v>
      </c>
      <c r="F284">
        <v>3</v>
      </c>
      <c r="G284" s="5">
        <v>31148</v>
      </c>
      <c r="H284">
        <v>99</v>
      </c>
      <c r="I284" t="s">
        <v>67</v>
      </c>
      <c r="J284" s="5">
        <v>4073</v>
      </c>
      <c r="K284">
        <v>99</v>
      </c>
      <c r="L284">
        <f>'KRWSIP_Program_Baseline Data'!H285</f>
        <v>0.5</v>
      </c>
      <c r="M284">
        <v>0</v>
      </c>
      <c r="P284" s="6"/>
      <c r="V284" t="str">
        <f>IF($M284=1,G284,"")</f>
        <v/>
      </c>
    </row>
    <row r="285" spans="2:22" x14ac:dyDescent="0.3">
      <c r="B285">
        <v>88</v>
      </c>
      <c r="C285" t="s">
        <v>62</v>
      </c>
      <c r="D285">
        <v>3</v>
      </c>
      <c r="E285">
        <v>0</v>
      </c>
      <c r="F285">
        <v>3</v>
      </c>
      <c r="G285" s="5">
        <v>30092</v>
      </c>
      <c r="H285">
        <v>46</v>
      </c>
      <c r="I285" t="s">
        <v>69</v>
      </c>
      <c r="J285" s="5">
        <v>2726</v>
      </c>
      <c r="K285">
        <v>46</v>
      </c>
      <c r="L285">
        <f>'KRWSIP_Program_Baseline Data'!H286</f>
        <v>14.8</v>
      </c>
      <c r="M285">
        <v>0</v>
      </c>
      <c r="P285" s="6"/>
      <c r="V285" t="str">
        <f>IF($M285=1,G285,"")</f>
        <v/>
      </c>
    </row>
    <row r="286" spans="2:22" x14ac:dyDescent="0.3">
      <c r="B286">
        <v>106</v>
      </c>
      <c r="C286" t="s">
        <v>62</v>
      </c>
      <c r="D286">
        <v>5</v>
      </c>
      <c r="E286">
        <v>0</v>
      </c>
      <c r="F286">
        <v>5</v>
      </c>
      <c r="G286" s="5">
        <v>30071</v>
      </c>
      <c r="H286">
        <v>25</v>
      </c>
      <c r="I286" t="s">
        <v>67</v>
      </c>
      <c r="J286" s="5">
        <v>4954</v>
      </c>
      <c r="K286">
        <v>25</v>
      </c>
      <c r="L286">
        <f>'KRWSIP_Program_Baseline Data'!H287</f>
        <v>4.5</v>
      </c>
      <c r="M286">
        <v>0</v>
      </c>
      <c r="P286" s="6"/>
      <c r="V286" t="str">
        <f>IF($M286=1,G286,"")</f>
        <v/>
      </c>
    </row>
    <row r="287" spans="2:22" x14ac:dyDescent="0.3">
      <c r="B287">
        <v>332</v>
      </c>
      <c r="C287" t="s">
        <v>64</v>
      </c>
      <c r="D287">
        <v>3</v>
      </c>
      <c r="E287">
        <v>0</v>
      </c>
      <c r="F287">
        <v>3</v>
      </c>
      <c r="G287" s="5">
        <v>27685</v>
      </c>
      <c r="H287">
        <v>87</v>
      </c>
      <c r="I287" t="s">
        <v>67</v>
      </c>
      <c r="J287" s="5">
        <v>3372</v>
      </c>
      <c r="K287">
        <v>87</v>
      </c>
      <c r="L287">
        <f>'KRWSIP_Program_Baseline Data'!H288</f>
        <v>11.5</v>
      </c>
      <c r="M287">
        <v>0</v>
      </c>
      <c r="P287" s="6"/>
      <c r="V287" t="str">
        <f>IF($M287=1,G287,"")</f>
        <v/>
      </c>
    </row>
    <row r="288" spans="2:22" x14ac:dyDescent="0.3">
      <c r="B288">
        <v>114</v>
      </c>
      <c r="C288" t="s">
        <v>63</v>
      </c>
      <c r="D288">
        <v>6</v>
      </c>
      <c r="E288">
        <v>0</v>
      </c>
      <c r="F288">
        <v>6</v>
      </c>
      <c r="G288" s="5">
        <v>21616</v>
      </c>
      <c r="H288">
        <v>116</v>
      </c>
      <c r="I288" t="s">
        <v>67</v>
      </c>
      <c r="J288" s="5">
        <v>5826</v>
      </c>
      <c r="K288">
        <v>116</v>
      </c>
      <c r="L288">
        <f>'KRWSIP_Program_Baseline Data'!H289</f>
        <v>2.8</v>
      </c>
      <c r="M288">
        <v>0</v>
      </c>
      <c r="P288" s="6"/>
      <c r="V288" t="str">
        <f>IF($M288=1,G288,"")</f>
        <v/>
      </c>
    </row>
    <row r="289" spans="2:22" x14ac:dyDescent="0.3">
      <c r="B289">
        <v>336</v>
      </c>
      <c r="C289" t="s">
        <v>63</v>
      </c>
      <c r="D289">
        <v>7</v>
      </c>
      <c r="E289">
        <v>0</v>
      </c>
      <c r="F289">
        <v>7</v>
      </c>
      <c r="G289" s="5">
        <v>30291</v>
      </c>
      <c r="H289">
        <v>16</v>
      </c>
      <c r="I289" t="s">
        <v>67</v>
      </c>
      <c r="J289" s="5">
        <v>4440</v>
      </c>
      <c r="K289">
        <v>16</v>
      </c>
      <c r="L289">
        <f>'KRWSIP_Program_Baseline Data'!H290</f>
        <v>9.1999999999999993</v>
      </c>
      <c r="M289">
        <v>0</v>
      </c>
      <c r="P289" s="6"/>
      <c r="V289" t="str">
        <f>IF($M289=1,G289,"")</f>
        <v/>
      </c>
    </row>
    <row r="290" spans="2:22" x14ac:dyDescent="0.3">
      <c r="B290">
        <v>229</v>
      </c>
      <c r="C290" t="s">
        <v>65</v>
      </c>
      <c r="D290">
        <v>5</v>
      </c>
      <c r="E290">
        <v>0</v>
      </c>
      <c r="F290">
        <v>5</v>
      </c>
      <c r="G290" s="5">
        <v>32256</v>
      </c>
      <c r="H290">
        <v>22</v>
      </c>
      <c r="I290" t="s">
        <v>69</v>
      </c>
      <c r="J290" s="5">
        <v>5449</v>
      </c>
      <c r="K290">
        <v>22</v>
      </c>
      <c r="L290">
        <f>'KRWSIP_Program_Baseline Data'!H291</f>
        <v>9.4</v>
      </c>
      <c r="M290">
        <v>0</v>
      </c>
      <c r="P290" s="6"/>
      <c r="V290" t="str">
        <f>IF($M290=1,G290,"")</f>
        <v/>
      </c>
    </row>
    <row r="291" spans="2:22" x14ac:dyDescent="0.3">
      <c r="B291">
        <v>64</v>
      </c>
      <c r="C291" t="s">
        <v>65</v>
      </c>
      <c r="D291">
        <v>7</v>
      </c>
      <c r="E291">
        <v>0</v>
      </c>
      <c r="F291">
        <v>7</v>
      </c>
      <c r="G291" s="5">
        <v>21232</v>
      </c>
      <c r="H291">
        <v>84</v>
      </c>
      <c r="I291" t="s">
        <v>68</v>
      </c>
      <c r="J291" s="5">
        <v>5213</v>
      </c>
      <c r="K291">
        <v>84</v>
      </c>
      <c r="L291">
        <f>'KRWSIP_Program_Baseline Data'!H292</f>
        <v>10.199999999999999</v>
      </c>
      <c r="M291">
        <v>0</v>
      </c>
      <c r="P291" s="6"/>
      <c r="V291" t="str">
        <f>IF($M291=1,G291,"")</f>
        <v/>
      </c>
    </row>
    <row r="292" spans="2:22" x14ac:dyDescent="0.3">
      <c r="B292">
        <v>295</v>
      </c>
      <c r="C292" t="s">
        <v>62</v>
      </c>
      <c r="D292">
        <v>5</v>
      </c>
      <c r="E292">
        <v>0</v>
      </c>
      <c r="F292">
        <v>5</v>
      </c>
      <c r="G292" s="5">
        <v>40980</v>
      </c>
      <c r="H292">
        <v>50</v>
      </c>
      <c r="I292" t="s">
        <v>69</v>
      </c>
      <c r="J292" s="5">
        <v>4083</v>
      </c>
      <c r="K292">
        <v>50</v>
      </c>
      <c r="L292">
        <f>'KRWSIP_Program_Baseline Data'!H293</f>
        <v>3.7</v>
      </c>
      <c r="M292">
        <v>0</v>
      </c>
      <c r="P292" s="6"/>
      <c r="V292" t="str">
        <f>IF($M292=1,G292,"")</f>
        <v/>
      </c>
    </row>
    <row r="293" spans="2:22" x14ac:dyDescent="0.3">
      <c r="B293">
        <v>2</v>
      </c>
      <c r="C293" t="s">
        <v>62</v>
      </c>
      <c r="D293">
        <v>6</v>
      </c>
      <c r="E293">
        <v>0</v>
      </c>
      <c r="F293">
        <v>6</v>
      </c>
      <c r="G293" s="5">
        <v>28075</v>
      </c>
      <c r="H293">
        <v>20</v>
      </c>
      <c r="I293" t="s">
        <v>68</v>
      </c>
      <c r="J293" s="5">
        <v>5679</v>
      </c>
      <c r="K293">
        <v>20</v>
      </c>
      <c r="L293">
        <f>'KRWSIP_Program_Baseline Data'!H294</f>
        <v>9.3000000000000007</v>
      </c>
      <c r="M293">
        <v>0</v>
      </c>
      <c r="P293" s="6"/>
      <c r="V293" t="str">
        <f>IF($M293=1,G293,"")</f>
        <v/>
      </c>
    </row>
    <row r="294" spans="2:22" x14ac:dyDescent="0.3">
      <c r="B294">
        <v>396</v>
      </c>
      <c r="C294" t="s">
        <v>64</v>
      </c>
      <c r="D294">
        <v>4</v>
      </c>
      <c r="E294">
        <v>0</v>
      </c>
      <c r="F294">
        <v>4</v>
      </c>
      <c r="G294" s="5">
        <v>20848</v>
      </c>
      <c r="H294">
        <v>55</v>
      </c>
      <c r="I294" t="s">
        <v>68</v>
      </c>
      <c r="J294" s="5">
        <v>3287</v>
      </c>
      <c r="K294">
        <v>55</v>
      </c>
      <c r="L294">
        <f>'KRWSIP_Program_Baseline Data'!H295</f>
        <v>4.5999999999999996</v>
      </c>
      <c r="M294">
        <v>0</v>
      </c>
      <c r="P294" s="6"/>
      <c r="V294" t="str">
        <f>IF($M294=1,G294,"")</f>
        <v/>
      </c>
    </row>
    <row r="295" spans="2:22" x14ac:dyDescent="0.3">
      <c r="B295">
        <v>164</v>
      </c>
      <c r="C295" t="s">
        <v>63</v>
      </c>
      <c r="D295">
        <v>3</v>
      </c>
      <c r="E295">
        <v>0</v>
      </c>
      <c r="F295">
        <v>3</v>
      </c>
      <c r="G295" s="5">
        <v>20830</v>
      </c>
      <c r="H295">
        <v>51</v>
      </c>
      <c r="I295" t="s">
        <v>68</v>
      </c>
      <c r="J295" s="5">
        <v>3963</v>
      </c>
      <c r="K295">
        <v>51</v>
      </c>
      <c r="L295">
        <f>'KRWSIP_Program_Baseline Data'!H296</f>
        <v>4.4000000000000004</v>
      </c>
      <c r="M295">
        <v>0</v>
      </c>
      <c r="P295" s="6"/>
      <c r="V295" t="str">
        <f>IF($M295=1,G295,"")</f>
        <v/>
      </c>
    </row>
    <row r="296" spans="2:22" x14ac:dyDescent="0.3">
      <c r="B296">
        <v>307</v>
      </c>
      <c r="C296" t="s">
        <v>64</v>
      </c>
      <c r="D296">
        <v>6</v>
      </c>
      <c r="E296">
        <v>0</v>
      </c>
      <c r="F296">
        <v>6</v>
      </c>
      <c r="G296" s="5">
        <v>14074</v>
      </c>
      <c r="H296">
        <v>56</v>
      </c>
      <c r="I296" t="s">
        <v>69</v>
      </c>
      <c r="J296" s="5">
        <v>4662</v>
      </c>
      <c r="K296">
        <v>56</v>
      </c>
      <c r="L296">
        <f>'KRWSIP_Program_Baseline Data'!H297</f>
        <v>3.5</v>
      </c>
      <c r="M296">
        <v>0</v>
      </c>
      <c r="P296" s="6"/>
      <c r="V296" t="str">
        <f>IF($M296=1,G296,"")</f>
        <v/>
      </c>
    </row>
    <row r="297" spans="2:22" x14ac:dyDescent="0.3">
      <c r="B297">
        <v>73</v>
      </c>
      <c r="C297" t="s">
        <v>65</v>
      </c>
      <c r="D297">
        <v>7</v>
      </c>
      <c r="E297">
        <v>0</v>
      </c>
      <c r="F297">
        <v>7</v>
      </c>
      <c r="G297" s="5">
        <v>34866</v>
      </c>
      <c r="H297">
        <v>109</v>
      </c>
      <c r="I297" t="s">
        <v>69</v>
      </c>
      <c r="J297" s="5">
        <v>6348</v>
      </c>
      <c r="K297">
        <v>109</v>
      </c>
      <c r="L297">
        <f>'KRWSIP_Program_Baseline Data'!H298</f>
        <v>6</v>
      </c>
      <c r="M297">
        <v>0</v>
      </c>
      <c r="P297" s="6"/>
      <c r="V297" t="str">
        <f>IF($M297=1,G297,"")</f>
        <v/>
      </c>
    </row>
    <row r="298" spans="2:22" x14ac:dyDescent="0.3">
      <c r="B298">
        <v>96</v>
      </c>
      <c r="C298" t="s">
        <v>63</v>
      </c>
      <c r="D298">
        <v>6</v>
      </c>
      <c r="E298">
        <v>0</v>
      </c>
      <c r="F298">
        <v>6</v>
      </c>
      <c r="G298" s="5">
        <v>35600</v>
      </c>
      <c r="H298">
        <v>15</v>
      </c>
      <c r="I298" t="s">
        <v>69</v>
      </c>
      <c r="J298" s="5">
        <v>4363</v>
      </c>
      <c r="K298">
        <v>15</v>
      </c>
      <c r="L298">
        <f>'KRWSIP_Program_Baseline Data'!H299</f>
        <v>11.8</v>
      </c>
      <c r="M298">
        <v>0</v>
      </c>
      <c r="P298" s="6"/>
      <c r="V298" t="str">
        <f>IF($M298=1,G298,"")</f>
        <v/>
      </c>
    </row>
    <row r="299" spans="2:22" x14ac:dyDescent="0.3">
      <c r="B299">
        <v>35</v>
      </c>
      <c r="C299" t="s">
        <v>63</v>
      </c>
      <c r="D299">
        <v>7</v>
      </c>
      <c r="E299">
        <v>0</v>
      </c>
      <c r="F299">
        <v>7</v>
      </c>
      <c r="G299" s="5">
        <v>34739</v>
      </c>
      <c r="H299">
        <v>45</v>
      </c>
      <c r="I299" t="s">
        <v>69</v>
      </c>
      <c r="J299" s="5">
        <v>4632</v>
      </c>
      <c r="K299">
        <v>45</v>
      </c>
      <c r="L299">
        <f>'KRWSIP_Program_Baseline Data'!H300</f>
        <v>6.5</v>
      </c>
      <c r="M299">
        <v>0</v>
      </c>
      <c r="P299" s="6"/>
      <c r="V299" t="str">
        <f>IF($M299=1,G299,"")</f>
        <v/>
      </c>
    </row>
    <row r="300" spans="2:22" x14ac:dyDescent="0.3">
      <c r="B300">
        <v>335</v>
      </c>
      <c r="C300" t="s">
        <v>65</v>
      </c>
      <c r="D300">
        <v>7</v>
      </c>
      <c r="E300">
        <v>0</v>
      </c>
      <c r="F300">
        <v>7</v>
      </c>
      <c r="G300" s="5">
        <v>23424</v>
      </c>
      <c r="H300">
        <v>41</v>
      </c>
      <c r="I300" t="s">
        <v>67</v>
      </c>
      <c r="J300" s="5">
        <v>5350</v>
      </c>
      <c r="K300">
        <v>41</v>
      </c>
      <c r="L300">
        <f>'KRWSIP_Program_Baseline Data'!H301</f>
        <v>2.1</v>
      </c>
      <c r="M300">
        <v>0</v>
      </c>
      <c r="P300" s="6"/>
      <c r="V300" t="str">
        <f>IF($M300=1,G300,"")</f>
        <v/>
      </c>
    </row>
    <row r="301" spans="2:22" x14ac:dyDescent="0.3">
      <c r="B301">
        <v>178</v>
      </c>
      <c r="C301" t="s">
        <v>63</v>
      </c>
      <c r="D301">
        <v>4</v>
      </c>
      <c r="E301">
        <v>0</v>
      </c>
      <c r="F301">
        <v>4</v>
      </c>
      <c r="G301" s="5">
        <v>27598</v>
      </c>
      <c r="H301">
        <v>80</v>
      </c>
      <c r="I301" t="s">
        <v>67</v>
      </c>
      <c r="J301" s="5">
        <v>2948</v>
      </c>
      <c r="K301">
        <v>80</v>
      </c>
      <c r="L301">
        <f>'KRWSIP_Program_Baseline Data'!H302</f>
        <v>8.3000000000000007</v>
      </c>
      <c r="M301">
        <v>0</v>
      </c>
      <c r="P301" s="6"/>
      <c r="V301" t="str">
        <f>IF($M301=1,G301,"")</f>
        <v/>
      </c>
    </row>
    <row r="302" spans="2:22" x14ac:dyDescent="0.3">
      <c r="B302">
        <v>202</v>
      </c>
      <c r="C302" t="s">
        <v>64</v>
      </c>
      <c r="D302">
        <v>3</v>
      </c>
      <c r="E302">
        <v>0</v>
      </c>
      <c r="F302">
        <v>3</v>
      </c>
      <c r="G302" s="5">
        <v>28572</v>
      </c>
      <c r="H302">
        <v>53</v>
      </c>
      <c r="I302" t="s">
        <v>67</v>
      </c>
      <c r="J302" s="5">
        <v>4538</v>
      </c>
      <c r="K302">
        <v>53</v>
      </c>
      <c r="L302">
        <f>'KRWSIP_Program_Baseline Data'!H303</f>
        <v>8.1999999999999993</v>
      </c>
      <c r="M302">
        <v>0</v>
      </c>
      <c r="P302" s="6"/>
      <c r="V302" t="str">
        <f>IF($M302=1,G302,"")</f>
        <v/>
      </c>
    </row>
    <row r="303" spans="2:22" x14ac:dyDescent="0.3">
      <c r="B303">
        <v>264</v>
      </c>
      <c r="C303" t="s">
        <v>63</v>
      </c>
      <c r="D303">
        <v>6</v>
      </c>
      <c r="E303">
        <v>0</v>
      </c>
      <c r="F303">
        <v>6</v>
      </c>
      <c r="G303" s="5">
        <v>30066</v>
      </c>
      <c r="H303">
        <v>49</v>
      </c>
      <c r="I303" t="s">
        <v>69</v>
      </c>
      <c r="J303" s="5">
        <v>3954</v>
      </c>
      <c r="K303">
        <v>49</v>
      </c>
      <c r="L303">
        <f>'KRWSIP_Program_Baseline Data'!H304</f>
        <v>1.4</v>
      </c>
      <c r="M303">
        <v>0</v>
      </c>
      <c r="P303" s="6"/>
      <c r="V303" t="str">
        <f>IF($M303=1,G303,"")</f>
        <v/>
      </c>
    </row>
    <row r="304" spans="2:22" x14ac:dyDescent="0.3">
      <c r="B304">
        <v>188</v>
      </c>
      <c r="C304" t="s">
        <v>63</v>
      </c>
      <c r="D304">
        <v>6</v>
      </c>
      <c r="E304">
        <v>0</v>
      </c>
      <c r="F304">
        <v>6</v>
      </c>
      <c r="G304" s="5">
        <v>23259</v>
      </c>
      <c r="H304">
        <v>69</v>
      </c>
      <c r="I304" t="s">
        <v>68</v>
      </c>
      <c r="J304" s="5">
        <v>5435</v>
      </c>
      <c r="K304">
        <v>69</v>
      </c>
      <c r="L304">
        <f>'KRWSIP_Program_Baseline Data'!H305</f>
        <v>5.5</v>
      </c>
      <c r="M304">
        <v>0</v>
      </c>
      <c r="P304" s="6"/>
      <c r="V304" t="str">
        <f>IF($M304=1,G304,"")</f>
        <v/>
      </c>
    </row>
    <row r="305" spans="2:22" x14ac:dyDescent="0.3">
      <c r="B305">
        <v>132</v>
      </c>
      <c r="C305" t="s">
        <v>65</v>
      </c>
      <c r="D305">
        <v>5</v>
      </c>
      <c r="E305">
        <v>0</v>
      </c>
      <c r="F305">
        <v>5</v>
      </c>
      <c r="G305" s="5">
        <v>45974</v>
      </c>
      <c r="H305">
        <v>96</v>
      </c>
      <c r="I305" t="s">
        <v>67</v>
      </c>
      <c r="J305" s="5">
        <v>4600</v>
      </c>
      <c r="K305">
        <v>96</v>
      </c>
      <c r="L305">
        <f>'KRWSIP_Program_Baseline Data'!H306</f>
        <v>2.2000000000000002</v>
      </c>
      <c r="M305">
        <v>0</v>
      </c>
      <c r="P305" s="6"/>
      <c r="V305" t="str">
        <f>IF($M305=1,G305,"")</f>
        <v/>
      </c>
    </row>
    <row r="306" spans="2:22" x14ac:dyDescent="0.3">
      <c r="B306">
        <v>15</v>
      </c>
      <c r="C306" t="s">
        <v>63</v>
      </c>
      <c r="D306">
        <v>3</v>
      </c>
      <c r="E306">
        <v>0</v>
      </c>
      <c r="F306">
        <v>3</v>
      </c>
      <c r="G306" s="5">
        <v>37000</v>
      </c>
      <c r="H306">
        <v>23</v>
      </c>
      <c r="I306" t="s">
        <v>67</v>
      </c>
      <c r="J306" s="5">
        <v>3837</v>
      </c>
      <c r="K306">
        <v>23</v>
      </c>
      <c r="L306">
        <f>'KRWSIP_Program_Baseline Data'!H307</f>
        <v>15</v>
      </c>
      <c r="M306">
        <v>0</v>
      </c>
      <c r="P306" s="6"/>
      <c r="V306" t="str">
        <f>IF($M306=1,G306,"")</f>
        <v/>
      </c>
    </row>
    <row r="307" spans="2:22" x14ac:dyDescent="0.3">
      <c r="B307">
        <v>245</v>
      </c>
      <c r="C307" t="s">
        <v>65</v>
      </c>
      <c r="D307">
        <v>8</v>
      </c>
      <c r="E307">
        <v>0</v>
      </c>
      <c r="F307">
        <v>8</v>
      </c>
      <c r="G307" s="5">
        <v>31558</v>
      </c>
      <c r="H307">
        <v>46</v>
      </c>
      <c r="I307" t="s">
        <v>66</v>
      </c>
      <c r="J307" s="5">
        <v>6487</v>
      </c>
      <c r="K307">
        <v>46</v>
      </c>
      <c r="L307">
        <f>'KRWSIP_Program_Baseline Data'!H308</f>
        <v>10.9</v>
      </c>
      <c r="M307">
        <v>0</v>
      </c>
      <c r="P307" s="6"/>
      <c r="V307" t="str">
        <f>IF($M307=1,G307,"")</f>
        <v/>
      </c>
    </row>
    <row r="308" spans="2:22" x14ac:dyDescent="0.3">
      <c r="B308">
        <v>384</v>
      </c>
      <c r="C308" t="s">
        <v>62</v>
      </c>
      <c r="D308">
        <v>6</v>
      </c>
      <c r="E308">
        <v>0</v>
      </c>
      <c r="F308">
        <v>6</v>
      </c>
      <c r="G308" s="5">
        <v>38958</v>
      </c>
      <c r="H308">
        <v>60</v>
      </c>
      <c r="I308" t="s">
        <v>67</v>
      </c>
      <c r="J308" s="5">
        <v>5124</v>
      </c>
      <c r="K308">
        <v>60</v>
      </c>
      <c r="L308">
        <f>'KRWSIP_Program_Baseline Data'!H309</f>
        <v>14.6</v>
      </c>
      <c r="M308">
        <v>0</v>
      </c>
      <c r="P308" s="6"/>
      <c r="V308" t="str">
        <f>IF($M308=1,G308,"")</f>
        <v/>
      </c>
    </row>
    <row r="309" spans="2:22" x14ac:dyDescent="0.3">
      <c r="B309">
        <v>69</v>
      </c>
      <c r="C309" t="s">
        <v>64</v>
      </c>
      <c r="D309">
        <v>4</v>
      </c>
      <c r="E309">
        <v>0</v>
      </c>
      <c r="F309">
        <v>4</v>
      </c>
      <c r="G309" s="5">
        <v>18641</v>
      </c>
      <c r="H309">
        <v>59</v>
      </c>
      <c r="I309" t="s">
        <v>68</v>
      </c>
      <c r="J309" s="5">
        <v>4432</v>
      </c>
      <c r="K309">
        <v>59</v>
      </c>
      <c r="L309">
        <f>'KRWSIP_Program_Baseline Data'!H310</f>
        <v>7.1</v>
      </c>
      <c r="M309">
        <v>0</v>
      </c>
      <c r="P309" s="6"/>
      <c r="V309" t="str">
        <f>IF($M309=1,G309,"")</f>
        <v/>
      </c>
    </row>
    <row r="310" spans="2:22" x14ac:dyDescent="0.3">
      <c r="B310">
        <v>329</v>
      </c>
      <c r="C310" t="s">
        <v>65</v>
      </c>
      <c r="D310">
        <v>6</v>
      </c>
      <c r="E310">
        <v>0</v>
      </c>
      <c r="F310">
        <v>6</v>
      </c>
      <c r="G310" s="5">
        <v>28026</v>
      </c>
      <c r="H310">
        <v>82</v>
      </c>
      <c r="I310" t="s">
        <v>68</v>
      </c>
      <c r="J310" s="5">
        <v>4219</v>
      </c>
      <c r="K310">
        <v>82</v>
      </c>
      <c r="L310">
        <f>'KRWSIP_Program_Baseline Data'!H311</f>
        <v>2</v>
      </c>
      <c r="M310">
        <v>0</v>
      </c>
      <c r="P310" s="6"/>
      <c r="V310" t="str">
        <f>IF($M310=1,G310,"")</f>
        <v/>
      </c>
    </row>
    <row r="311" spans="2:22" x14ac:dyDescent="0.3">
      <c r="B311">
        <v>265</v>
      </c>
      <c r="C311" t="s">
        <v>62</v>
      </c>
      <c r="D311">
        <v>8</v>
      </c>
      <c r="E311">
        <v>0</v>
      </c>
      <c r="F311">
        <v>8</v>
      </c>
      <c r="G311" s="5">
        <v>32886</v>
      </c>
      <c r="H311">
        <v>66</v>
      </c>
      <c r="I311" t="s">
        <v>69</v>
      </c>
      <c r="J311" s="5">
        <v>4647</v>
      </c>
      <c r="K311">
        <v>66</v>
      </c>
      <c r="L311">
        <f>'KRWSIP_Program_Baseline Data'!H312</f>
        <v>10.8</v>
      </c>
      <c r="M311">
        <v>0</v>
      </c>
      <c r="P311" s="6"/>
      <c r="V311" t="str">
        <f>IF($M311=1,G311,"")</f>
        <v/>
      </c>
    </row>
    <row r="312" spans="2:22" x14ac:dyDescent="0.3">
      <c r="B312">
        <v>29</v>
      </c>
      <c r="C312" t="s">
        <v>64</v>
      </c>
      <c r="D312">
        <v>6</v>
      </c>
      <c r="E312">
        <v>0</v>
      </c>
      <c r="F312">
        <v>6</v>
      </c>
      <c r="G312" s="5">
        <v>37377</v>
      </c>
      <c r="H312">
        <v>17</v>
      </c>
      <c r="I312" t="s">
        <v>68</v>
      </c>
      <c r="J312" s="5">
        <v>5393</v>
      </c>
      <c r="K312">
        <v>17</v>
      </c>
      <c r="L312">
        <f>'KRWSIP_Program_Baseline Data'!H313</f>
        <v>6</v>
      </c>
      <c r="M312">
        <v>0</v>
      </c>
      <c r="P312" s="6"/>
      <c r="V312" t="str">
        <f>IF($M312=1,G312,"")</f>
        <v/>
      </c>
    </row>
    <row r="313" spans="2:22" x14ac:dyDescent="0.3">
      <c r="B313">
        <v>226</v>
      </c>
      <c r="C313" t="s">
        <v>62</v>
      </c>
      <c r="D313">
        <v>5</v>
      </c>
      <c r="E313">
        <v>0</v>
      </c>
      <c r="F313">
        <v>5</v>
      </c>
      <c r="G313" s="5">
        <v>26637</v>
      </c>
      <c r="H313">
        <v>88</v>
      </c>
      <c r="I313" t="s">
        <v>69</v>
      </c>
      <c r="J313" s="5">
        <v>4770</v>
      </c>
      <c r="K313">
        <v>88</v>
      </c>
      <c r="L313">
        <f>'KRWSIP_Program_Baseline Data'!H314</f>
        <v>12.3</v>
      </c>
      <c r="M313">
        <v>0</v>
      </c>
      <c r="P313" s="6"/>
      <c r="V313" t="str">
        <f>IF($M313=1,G313,"")</f>
        <v/>
      </c>
    </row>
    <row r="314" spans="2:22" x14ac:dyDescent="0.3">
      <c r="B314">
        <v>276</v>
      </c>
      <c r="C314" t="s">
        <v>65</v>
      </c>
      <c r="D314">
        <v>6</v>
      </c>
      <c r="E314">
        <v>0</v>
      </c>
      <c r="F314">
        <v>6</v>
      </c>
      <c r="G314" s="5">
        <v>45875</v>
      </c>
      <c r="H314">
        <v>60</v>
      </c>
      <c r="I314" t="s">
        <v>69</v>
      </c>
      <c r="J314" s="5">
        <v>5937</v>
      </c>
      <c r="K314">
        <v>60</v>
      </c>
      <c r="L314">
        <f>'KRWSIP_Program_Baseline Data'!H315</f>
        <v>5.8</v>
      </c>
      <c r="M314">
        <v>0</v>
      </c>
      <c r="P314" s="6"/>
      <c r="V314" t="str">
        <f>IF($M314=1,G314,"")</f>
        <v/>
      </c>
    </row>
    <row r="315" spans="2:22" x14ac:dyDescent="0.3">
      <c r="B315">
        <v>289</v>
      </c>
      <c r="C315" t="s">
        <v>63</v>
      </c>
      <c r="D315">
        <v>8</v>
      </c>
      <c r="E315">
        <v>0</v>
      </c>
      <c r="F315">
        <v>8</v>
      </c>
      <c r="G315" s="5">
        <v>30702</v>
      </c>
      <c r="H315">
        <v>32</v>
      </c>
      <c r="I315" t="s">
        <v>69</v>
      </c>
      <c r="J315" s="5">
        <v>5930</v>
      </c>
      <c r="K315">
        <v>32</v>
      </c>
      <c r="L315">
        <f>'KRWSIP_Program_Baseline Data'!H316</f>
        <v>2.9</v>
      </c>
      <c r="M315">
        <v>0</v>
      </c>
      <c r="P315" s="6"/>
      <c r="V315" t="str">
        <f>IF($M315=1,G315,"")</f>
        <v/>
      </c>
    </row>
    <row r="316" spans="2:22" x14ac:dyDescent="0.3">
      <c r="B316">
        <v>399</v>
      </c>
      <c r="C316" t="s">
        <v>64</v>
      </c>
      <c r="D316">
        <v>8</v>
      </c>
      <c r="E316">
        <v>0</v>
      </c>
      <c r="F316">
        <v>8</v>
      </c>
      <c r="G316" s="5">
        <v>39292</v>
      </c>
      <c r="H316">
        <v>114</v>
      </c>
      <c r="I316" t="s">
        <v>68</v>
      </c>
      <c r="J316" s="5">
        <v>4787</v>
      </c>
      <c r="K316">
        <v>114</v>
      </c>
      <c r="L316">
        <f>'KRWSIP_Program_Baseline Data'!H317</f>
        <v>7.1</v>
      </c>
      <c r="M316">
        <v>0</v>
      </c>
      <c r="P316" s="6"/>
      <c r="V316" t="str">
        <f>IF($M316=1,G316,"")</f>
        <v/>
      </c>
    </row>
    <row r="317" spans="2:22" x14ac:dyDescent="0.3">
      <c r="B317">
        <v>248</v>
      </c>
      <c r="C317" t="s">
        <v>65</v>
      </c>
      <c r="D317">
        <v>8</v>
      </c>
      <c r="E317">
        <v>0</v>
      </c>
      <c r="F317">
        <v>8</v>
      </c>
      <c r="G317" s="5">
        <v>33071</v>
      </c>
      <c r="H317">
        <v>86</v>
      </c>
      <c r="I317" t="s">
        <v>67</v>
      </c>
      <c r="J317" s="5">
        <v>5736</v>
      </c>
      <c r="K317">
        <v>86</v>
      </c>
      <c r="L317">
        <f>'KRWSIP_Program_Baseline Data'!H318</f>
        <v>8.6</v>
      </c>
      <c r="M317">
        <v>0</v>
      </c>
      <c r="P317" s="6"/>
      <c r="V317" t="str">
        <f>IF($M317=1,G317,"")</f>
        <v/>
      </c>
    </row>
    <row r="318" spans="2:22" x14ac:dyDescent="0.3">
      <c r="B318">
        <v>370</v>
      </c>
      <c r="C318" t="s">
        <v>64</v>
      </c>
      <c r="D318">
        <v>5</v>
      </c>
      <c r="E318">
        <v>0</v>
      </c>
      <c r="F318">
        <v>5</v>
      </c>
      <c r="G318" s="5">
        <v>22866</v>
      </c>
      <c r="H318">
        <v>106</v>
      </c>
      <c r="I318" t="s">
        <v>68</v>
      </c>
      <c r="J318" s="5">
        <v>4167</v>
      </c>
      <c r="K318">
        <v>106</v>
      </c>
      <c r="L318">
        <f>'KRWSIP_Program_Baseline Data'!H319</f>
        <v>5.9</v>
      </c>
      <c r="M318">
        <v>0</v>
      </c>
      <c r="P318" s="6"/>
      <c r="V318" t="str">
        <f>IF($M318=1,G318,"")</f>
        <v/>
      </c>
    </row>
    <row r="319" spans="2:22" x14ac:dyDescent="0.3">
      <c r="B319">
        <v>291</v>
      </c>
      <c r="C319" t="s">
        <v>63</v>
      </c>
      <c r="D319">
        <v>2</v>
      </c>
      <c r="E319">
        <v>0</v>
      </c>
      <c r="F319">
        <v>2</v>
      </c>
      <c r="G319" s="5">
        <v>32929</v>
      </c>
      <c r="H319">
        <v>104</v>
      </c>
      <c r="I319" t="s">
        <v>68</v>
      </c>
      <c r="J319" s="5">
        <v>3185</v>
      </c>
      <c r="K319">
        <v>104</v>
      </c>
      <c r="L319">
        <f>'KRWSIP_Program_Baseline Data'!H320</f>
        <v>1.8</v>
      </c>
      <c r="M319">
        <v>0</v>
      </c>
      <c r="P319" s="6"/>
      <c r="V319" t="str">
        <f>IF($M319=1,G319,"")</f>
        <v/>
      </c>
    </row>
    <row r="320" spans="2:22" x14ac:dyDescent="0.3">
      <c r="B320">
        <v>55</v>
      </c>
      <c r="C320" t="s">
        <v>65</v>
      </c>
      <c r="D320">
        <v>4</v>
      </c>
      <c r="E320">
        <v>0</v>
      </c>
      <c r="F320">
        <v>4</v>
      </c>
      <c r="G320" s="5">
        <v>25641</v>
      </c>
      <c r="H320">
        <v>32</v>
      </c>
      <c r="I320" t="s">
        <v>67</v>
      </c>
      <c r="J320" s="5">
        <v>4004</v>
      </c>
      <c r="K320">
        <v>32</v>
      </c>
      <c r="L320">
        <f>'KRWSIP_Program_Baseline Data'!H321</f>
        <v>5.8</v>
      </c>
      <c r="M320">
        <v>0</v>
      </c>
      <c r="P320" s="6"/>
      <c r="V320" t="str">
        <f>IF($M320=1,G320,"")</f>
        <v/>
      </c>
    </row>
    <row r="321" spans="2:22" x14ac:dyDescent="0.3">
      <c r="B321">
        <v>275</v>
      </c>
      <c r="C321" t="s">
        <v>65</v>
      </c>
      <c r="D321">
        <v>5</v>
      </c>
      <c r="E321">
        <v>0</v>
      </c>
      <c r="F321">
        <v>5</v>
      </c>
      <c r="G321" s="5">
        <v>33356</v>
      </c>
      <c r="H321">
        <v>56</v>
      </c>
      <c r="I321" t="s">
        <v>68</v>
      </c>
      <c r="J321" s="5">
        <v>5031</v>
      </c>
      <c r="K321">
        <v>56</v>
      </c>
      <c r="L321">
        <f>'KRWSIP_Program_Baseline Data'!H322</f>
        <v>4.8</v>
      </c>
      <c r="M321">
        <v>0</v>
      </c>
      <c r="P321" s="6"/>
      <c r="V321" t="str">
        <f>IF($M321=1,G321,"")</f>
        <v/>
      </c>
    </row>
    <row r="322" spans="2:22" x14ac:dyDescent="0.3">
      <c r="B322">
        <v>227</v>
      </c>
      <c r="C322" t="s">
        <v>62</v>
      </c>
      <c r="D322">
        <v>5</v>
      </c>
      <c r="E322">
        <v>0</v>
      </c>
      <c r="F322">
        <v>5</v>
      </c>
      <c r="G322" s="5">
        <v>15163</v>
      </c>
      <c r="H322">
        <v>36</v>
      </c>
      <c r="I322" t="s">
        <v>68</v>
      </c>
      <c r="J322" s="5">
        <v>3877</v>
      </c>
      <c r="K322">
        <v>36</v>
      </c>
      <c r="L322">
        <f>'KRWSIP_Program_Baseline Data'!H323</f>
        <v>14.6</v>
      </c>
      <c r="M322">
        <v>0</v>
      </c>
      <c r="P322" s="6"/>
      <c r="V322" t="str">
        <f>IF($M322=1,G322,"")</f>
        <v/>
      </c>
    </row>
    <row r="323" spans="2:22" x14ac:dyDescent="0.3">
      <c r="B323">
        <v>31</v>
      </c>
      <c r="C323" t="s">
        <v>65</v>
      </c>
      <c r="D323">
        <v>3</v>
      </c>
      <c r="E323">
        <v>0</v>
      </c>
      <c r="F323">
        <v>3</v>
      </c>
      <c r="G323" s="5">
        <v>45334</v>
      </c>
      <c r="H323">
        <v>73</v>
      </c>
      <c r="I323" t="s">
        <v>69</v>
      </c>
      <c r="J323" s="5">
        <v>4822</v>
      </c>
      <c r="K323">
        <v>73</v>
      </c>
      <c r="L323">
        <f>'KRWSIP_Program_Baseline Data'!H324</f>
        <v>10.1</v>
      </c>
      <c r="M323">
        <v>0</v>
      </c>
      <c r="P323" s="6"/>
      <c r="V323" t="str">
        <f>IF($M323=1,G323,"")</f>
        <v/>
      </c>
    </row>
    <row r="324" spans="2:22" x14ac:dyDescent="0.3">
      <c r="B324">
        <v>192</v>
      </c>
      <c r="C324" t="s">
        <v>65</v>
      </c>
      <c r="D324">
        <v>4</v>
      </c>
      <c r="E324">
        <v>0</v>
      </c>
      <c r="F324">
        <v>4</v>
      </c>
      <c r="G324" s="5">
        <v>31617</v>
      </c>
      <c r="H324">
        <v>15</v>
      </c>
      <c r="I324" t="s">
        <v>68</v>
      </c>
      <c r="J324" s="5">
        <v>5501</v>
      </c>
      <c r="K324">
        <v>15</v>
      </c>
      <c r="L324">
        <f>'KRWSIP_Program_Baseline Data'!H325</f>
        <v>3.7</v>
      </c>
      <c r="M324">
        <v>0</v>
      </c>
      <c r="P324" s="6"/>
      <c r="V324" t="str">
        <f>IF($M324=1,G324,"")</f>
        <v/>
      </c>
    </row>
    <row r="325" spans="2:22" x14ac:dyDescent="0.3">
      <c r="B325">
        <v>103</v>
      </c>
      <c r="C325" t="s">
        <v>64</v>
      </c>
      <c r="D325">
        <v>5</v>
      </c>
      <c r="E325">
        <v>0</v>
      </c>
      <c r="F325">
        <v>5</v>
      </c>
      <c r="G325" s="5">
        <v>27347</v>
      </c>
      <c r="H325">
        <v>94</v>
      </c>
      <c r="I325" t="s">
        <v>69</v>
      </c>
      <c r="J325" s="5">
        <v>3540</v>
      </c>
      <c r="K325">
        <v>94</v>
      </c>
      <c r="L325">
        <f>'KRWSIP_Program_Baseline Data'!H326</f>
        <v>10.1</v>
      </c>
      <c r="M325">
        <v>0</v>
      </c>
      <c r="P325" s="6"/>
      <c r="V325" t="str">
        <f>IF($M325=1,G325,"")</f>
        <v/>
      </c>
    </row>
    <row r="326" spans="2:22" x14ac:dyDescent="0.3">
      <c r="B326">
        <v>262</v>
      </c>
      <c r="C326" t="s">
        <v>65</v>
      </c>
      <c r="D326">
        <v>7</v>
      </c>
      <c r="E326">
        <v>0</v>
      </c>
      <c r="F326">
        <v>7</v>
      </c>
      <c r="G326" s="5">
        <v>32302</v>
      </c>
      <c r="H326">
        <v>27</v>
      </c>
      <c r="I326" t="s">
        <v>68</v>
      </c>
      <c r="J326" s="5">
        <v>4872</v>
      </c>
      <c r="K326">
        <v>27</v>
      </c>
      <c r="L326">
        <f>'KRWSIP_Program_Baseline Data'!H327</f>
        <v>1.9</v>
      </c>
      <c r="M326">
        <v>0</v>
      </c>
      <c r="P326" s="6"/>
      <c r="V326" t="str">
        <f>IF($M326=1,G326,"")</f>
        <v/>
      </c>
    </row>
    <row r="327" spans="2:22" x14ac:dyDescent="0.3">
      <c r="B327">
        <v>186</v>
      </c>
      <c r="C327" t="s">
        <v>63</v>
      </c>
      <c r="D327">
        <v>8</v>
      </c>
      <c r="E327">
        <v>0</v>
      </c>
      <c r="F327">
        <v>8</v>
      </c>
      <c r="G327" s="5">
        <v>39919</v>
      </c>
      <c r="H327">
        <v>50</v>
      </c>
      <c r="I327" t="s">
        <v>68</v>
      </c>
      <c r="J327" s="5">
        <v>6518</v>
      </c>
      <c r="K327">
        <v>50</v>
      </c>
      <c r="L327">
        <f>'KRWSIP_Program_Baseline Data'!H328</f>
        <v>0.5</v>
      </c>
      <c r="M327">
        <v>0</v>
      </c>
      <c r="P327" s="6"/>
      <c r="V327" t="str">
        <f>IF($M327=1,G327,"")</f>
        <v/>
      </c>
    </row>
    <row r="328" spans="2:22" x14ac:dyDescent="0.3">
      <c r="B328">
        <v>256</v>
      </c>
      <c r="C328" t="s">
        <v>64</v>
      </c>
      <c r="D328">
        <v>4</v>
      </c>
      <c r="E328">
        <v>0</v>
      </c>
      <c r="F328">
        <v>4</v>
      </c>
      <c r="G328" s="5">
        <v>28503</v>
      </c>
      <c r="H328">
        <v>45</v>
      </c>
      <c r="I328" t="s">
        <v>68</v>
      </c>
      <c r="J328" s="5">
        <v>3587</v>
      </c>
      <c r="K328">
        <v>45</v>
      </c>
      <c r="L328">
        <f>'KRWSIP_Program_Baseline Data'!H329</f>
        <v>9.5</v>
      </c>
      <c r="M328">
        <v>0</v>
      </c>
      <c r="P328" s="6"/>
      <c r="V328" t="str">
        <f>IF($M328=1,G328,"")</f>
        <v/>
      </c>
    </row>
    <row r="329" spans="2:22" x14ac:dyDescent="0.3">
      <c r="B329">
        <v>60</v>
      </c>
      <c r="C329" t="s">
        <v>63</v>
      </c>
      <c r="D329">
        <v>3</v>
      </c>
      <c r="E329">
        <v>0</v>
      </c>
      <c r="F329">
        <v>3</v>
      </c>
      <c r="G329" s="5">
        <v>26173</v>
      </c>
      <c r="H329">
        <v>45</v>
      </c>
      <c r="I329" t="s">
        <v>68</v>
      </c>
      <c r="J329" s="5">
        <v>4035</v>
      </c>
      <c r="K329">
        <v>45</v>
      </c>
      <c r="L329">
        <f>'KRWSIP_Program_Baseline Data'!H330</f>
        <v>8.9</v>
      </c>
      <c r="M329">
        <v>0</v>
      </c>
      <c r="P329" s="6"/>
      <c r="V329" t="str">
        <f>IF($M329=1,G329,"")</f>
        <v/>
      </c>
    </row>
    <row r="330" spans="2:22" x14ac:dyDescent="0.3">
      <c r="B330">
        <v>284</v>
      </c>
      <c r="C330" t="s">
        <v>65</v>
      </c>
      <c r="D330">
        <v>7</v>
      </c>
      <c r="E330">
        <v>0</v>
      </c>
      <c r="F330">
        <v>7</v>
      </c>
      <c r="G330" s="5">
        <v>40416</v>
      </c>
      <c r="H330">
        <v>85</v>
      </c>
      <c r="I330" t="s">
        <v>68</v>
      </c>
      <c r="J330" s="5">
        <v>5540</v>
      </c>
      <c r="K330">
        <v>85</v>
      </c>
      <c r="L330">
        <f>'KRWSIP_Program_Baseline Data'!H331</f>
        <v>10.5</v>
      </c>
      <c r="M330">
        <v>0</v>
      </c>
      <c r="P330" s="6"/>
      <c r="V330" t="str">
        <f>IF($M330=1,G330,"")</f>
        <v/>
      </c>
    </row>
    <row r="331" spans="2:22" x14ac:dyDescent="0.3">
      <c r="B331">
        <v>317</v>
      </c>
      <c r="C331" t="s">
        <v>62</v>
      </c>
      <c r="D331">
        <v>8</v>
      </c>
      <c r="E331">
        <v>0</v>
      </c>
      <c r="F331">
        <v>8</v>
      </c>
      <c r="G331" s="5">
        <v>25180</v>
      </c>
      <c r="H331">
        <v>67</v>
      </c>
      <c r="I331" t="s">
        <v>69</v>
      </c>
      <c r="J331" s="5">
        <v>6459</v>
      </c>
      <c r="K331">
        <v>67</v>
      </c>
      <c r="L331">
        <f>'KRWSIP_Program_Baseline Data'!H332</f>
        <v>8</v>
      </c>
      <c r="M331">
        <v>0</v>
      </c>
      <c r="P331" s="6"/>
      <c r="V331" t="str">
        <f>IF($M331=1,G331,"")</f>
        <v/>
      </c>
    </row>
    <row r="332" spans="2:22" x14ac:dyDescent="0.3">
      <c r="B332">
        <v>347</v>
      </c>
      <c r="C332" t="s">
        <v>65</v>
      </c>
      <c r="D332">
        <v>4</v>
      </c>
      <c r="E332">
        <v>0</v>
      </c>
      <c r="F332">
        <v>4</v>
      </c>
      <c r="G332" s="5">
        <v>30610</v>
      </c>
      <c r="H332">
        <v>16</v>
      </c>
      <c r="I332" t="s">
        <v>69</v>
      </c>
      <c r="J332" s="5">
        <v>4805</v>
      </c>
      <c r="K332">
        <v>16</v>
      </c>
      <c r="L332">
        <f>'KRWSIP_Program_Baseline Data'!H333</f>
        <v>9.6</v>
      </c>
      <c r="M332">
        <v>0</v>
      </c>
      <c r="P332" s="6"/>
      <c r="V332" t="str">
        <f>IF($M332=1,G332,"")</f>
        <v/>
      </c>
    </row>
    <row r="333" spans="2:22" x14ac:dyDescent="0.3">
      <c r="B333">
        <v>126</v>
      </c>
      <c r="C333" t="s">
        <v>64</v>
      </c>
      <c r="D333">
        <v>8</v>
      </c>
      <c r="E333">
        <v>0</v>
      </c>
      <c r="F333">
        <v>8</v>
      </c>
      <c r="G333" s="5">
        <v>46962</v>
      </c>
      <c r="H333">
        <v>39</v>
      </c>
      <c r="I333" t="s">
        <v>66</v>
      </c>
      <c r="J333" s="5">
        <v>4671</v>
      </c>
      <c r="K333">
        <v>39</v>
      </c>
      <c r="L333">
        <f>'KRWSIP_Program_Baseline Data'!H334</f>
        <v>13.5</v>
      </c>
      <c r="M333">
        <v>0</v>
      </c>
      <c r="P333" s="6"/>
      <c r="V333" t="str">
        <f>IF($M333=1,G333,"")</f>
        <v/>
      </c>
    </row>
    <row r="334" spans="2:22" x14ac:dyDescent="0.3">
      <c r="B334">
        <v>359</v>
      </c>
      <c r="C334" t="s">
        <v>64</v>
      </c>
      <c r="D334">
        <v>8</v>
      </c>
      <c r="E334">
        <v>0</v>
      </c>
      <c r="F334">
        <v>8</v>
      </c>
      <c r="G334" s="5">
        <v>40174</v>
      </c>
      <c r="H334">
        <v>15</v>
      </c>
      <c r="I334" t="s">
        <v>68</v>
      </c>
      <c r="J334" s="5">
        <v>7028</v>
      </c>
      <c r="K334">
        <v>15</v>
      </c>
      <c r="L334">
        <f>'KRWSIP_Program_Baseline Data'!H335</f>
        <v>3.5</v>
      </c>
      <c r="M334">
        <v>0</v>
      </c>
      <c r="P334" s="6"/>
      <c r="V334" t="str">
        <f>IF($M334=1,G334,"")</f>
        <v/>
      </c>
    </row>
    <row r="335" spans="2:22" x14ac:dyDescent="0.3">
      <c r="B335">
        <v>279</v>
      </c>
      <c r="C335" t="s">
        <v>64</v>
      </c>
      <c r="D335">
        <v>2</v>
      </c>
      <c r="E335">
        <v>0</v>
      </c>
      <c r="F335">
        <v>2</v>
      </c>
      <c r="G335" s="5">
        <v>36795</v>
      </c>
      <c r="H335">
        <v>59</v>
      </c>
      <c r="I335" t="s">
        <v>68</v>
      </c>
      <c r="J335" s="5">
        <v>4189</v>
      </c>
      <c r="K335">
        <v>59</v>
      </c>
      <c r="L335">
        <f>'KRWSIP_Program_Baseline Data'!H336</f>
        <v>8.8000000000000007</v>
      </c>
      <c r="M335">
        <v>0</v>
      </c>
      <c r="P335" s="6"/>
      <c r="V335" t="str">
        <f>IF($M335=1,G335,"")</f>
        <v/>
      </c>
    </row>
    <row r="336" spans="2:22" x14ac:dyDescent="0.3">
      <c r="B336">
        <v>302</v>
      </c>
      <c r="C336" t="s">
        <v>62</v>
      </c>
      <c r="D336">
        <v>5</v>
      </c>
      <c r="E336">
        <v>0</v>
      </c>
      <c r="F336">
        <v>5</v>
      </c>
      <c r="G336" s="5">
        <v>37569</v>
      </c>
      <c r="H336">
        <v>25</v>
      </c>
      <c r="I336" t="s">
        <v>69</v>
      </c>
      <c r="J336" s="5">
        <v>4150</v>
      </c>
      <c r="K336">
        <v>25</v>
      </c>
      <c r="L336">
        <f>'KRWSIP_Program_Baseline Data'!H337</f>
        <v>0.8</v>
      </c>
      <c r="M336">
        <v>0</v>
      </c>
      <c r="P336" s="6"/>
      <c r="V336" t="str">
        <f>IF($M336=1,G336,"")</f>
        <v/>
      </c>
    </row>
    <row r="337" spans="2:22" x14ac:dyDescent="0.3">
      <c r="B337">
        <v>94</v>
      </c>
      <c r="C337" t="s">
        <v>65</v>
      </c>
      <c r="D337">
        <v>4</v>
      </c>
      <c r="E337">
        <v>0</v>
      </c>
      <c r="F337">
        <v>4</v>
      </c>
      <c r="G337" s="5">
        <v>34993</v>
      </c>
      <c r="H337">
        <v>90</v>
      </c>
      <c r="I337" t="s">
        <v>69</v>
      </c>
      <c r="J337" s="5">
        <v>4191</v>
      </c>
      <c r="K337">
        <v>90</v>
      </c>
      <c r="L337">
        <f>'KRWSIP_Program_Baseline Data'!H338</f>
        <v>8.3000000000000007</v>
      </c>
      <c r="M337">
        <v>0</v>
      </c>
      <c r="P337" s="6"/>
      <c r="V337" t="str">
        <f>IF($M337=1,G337,"")</f>
        <v/>
      </c>
    </row>
    <row r="338" spans="2:22" x14ac:dyDescent="0.3">
      <c r="B338">
        <v>48</v>
      </c>
      <c r="C338" t="s">
        <v>65</v>
      </c>
      <c r="D338">
        <v>3</v>
      </c>
      <c r="E338">
        <v>0</v>
      </c>
      <c r="F338">
        <v>3</v>
      </c>
      <c r="G338" s="5">
        <v>15301</v>
      </c>
      <c r="H338">
        <v>27</v>
      </c>
      <c r="I338" t="s">
        <v>67</v>
      </c>
      <c r="J338" s="5">
        <v>4986</v>
      </c>
      <c r="K338">
        <v>27</v>
      </c>
      <c r="L338">
        <f>'KRWSIP_Program_Baseline Data'!H339</f>
        <v>8.1999999999999993</v>
      </c>
      <c r="M338">
        <v>0</v>
      </c>
      <c r="P338" s="6"/>
      <c r="V338" t="str">
        <f>IF($M338=1,G338,"")</f>
        <v/>
      </c>
    </row>
    <row r="339" spans="2:22" x14ac:dyDescent="0.3">
      <c r="B339">
        <v>238</v>
      </c>
      <c r="C339" t="s">
        <v>63</v>
      </c>
      <c r="D339">
        <v>4</v>
      </c>
      <c r="E339">
        <v>0</v>
      </c>
      <c r="F339">
        <v>4</v>
      </c>
      <c r="G339" s="5">
        <v>3822</v>
      </c>
      <c r="H339">
        <v>61</v>
      </c>
      <c r="I339" t="s">
        <v>68</v>
      </c>
      <c r="J339" s="5">
        <v>3513</v>
      </c>
      <c r="K339">
        <v>61</v>
      </c>
      <c r="L339">
        <f>'KRWSIP_Program_Baseline Data'!H340</f>
        <v>11.9</v>
      </c>
      <c r="M339">
        <v>0</v>
      </c>
      <c r="P339" s="6"/>
      <c r="V339" t="str">
        <f>IF($M339=1,G339,"")</f>
        <v/>
      </c>
    </row>
    <row r="340" spans="2:22" x14ac:dyDescent="0.3">
      <c r="B340">
        <v>108</v>
      </c>
      <c r="C340" t="s">
        <v>65</v>
      </c>
      <c r="D340">
        <v>8</v>
      </c>
      <c r="E340">
        <v>0</v>
      </c>
      <c r="F340">
        <v>8</v>
      </c>
      <c r="G340" s="5">
        <v>24123</v>
      </c>
      <c r="H340">
        <v>109</v>
      </c>
      <c r="I340" t="s">
        <v>67</v>
      </c>
      <c r="J340" s="5">
        <v>5379</v>
      </c>
      <c r="K340">
        <v>109</v>
      </c>
      <c r="L340">
        <f>'KRWSIP_Program_Baseline Data'!H341</f>
        <v>1</v>
      </c>
      <c r="M340">
        <v>0</v>
      </c>
      <c r="P340" s="6"/>
      <c r="V340" t="str">
        <f>IF($M340=1,G340,"")</f>
        <v/>
      </c>
    </row>
    <row r="341" spans="2:22" x14ac:dyDescent="0.3">
      <c r="B341">
        <v>99</v>
      </c>
      <c r="C341" t="s">
        <v>63</v>
      </c>
      <c r="D341">
        <v>8</v>
      </c>
      <c r="E341">
        <v>0</v>
      </c>
      <c r="F341">
        <v>8</v>
      </c>
      <c r="G341" s="5">
        <v>22665</v>
      </c>
      <c r="H341">
        <v>71</v>
      </c>
      <c r="I341" t="s">
        <v>68</v>
      </c>
      <c r="J341" s="5">
        <v>5647</v>
      </c>
      <c r="K341">
        <v>71</v>
      </c>
      <c r="L341">
        <f>'KRWSIP_Program_Baseline Data'!H342</f>
        <v>0.9</v>
      </c>
      <c r="M341">
        <v>0</v>
      </c>
      <c r="P341" s="6"/>
      <c r="V341" t="str">
        <f>IF($M341=1,G341,"")</f>
        <v/>
      </c>
    </row>
    <row r="342" spans="2:22" x14ac:dyDescent="0.3">
      <c r="B342">
        <v>72</v>
      </c>
      <c r="C342" t="s">
        <v>65</v>
      </c>
      <c r="D342">
        <v>8</v>
      </c>
      <c r="E342">
        <v>0</v>
      </c>
      <c r="F342">
        <v>8</v>
      </c>
      <c r="G342" s="5">
        <v>30282</v>
      </c>
      <c r="H342">
        <v>102</v>
      </c>
      <c r="I342" t="s">
        <v>67</v>
      </c>
      <c r="J342" s="5">
        <v>4887</v>
      </c>
      <c r="K342">
        <v>102</v>
      </c>
      <c r="L342">
        <f>'KRWSIP_Program_Baseline Data'!H343</f>
        <v>6.2</v>
      </c>
      <c r="M342">
        <v>0</v>
      </c>
      <c r="P342" s="6"/>
      <c r="V342" t="str">
        <f>IF($M342=1,G342,"")</f>
        <v/>
      </c>
    </row>
    <row r="343" spans="2:22" x14ac:dyDescent="0.3">
      <c r="B343">
        <v>225</v>
      </c>
      <c r="C343" t="s">
        <v>65</v>
      </c>
      <c r="D343">
        <v>5</v>
      </c>
      <c r="E343">
        <v>0</v>
      </c>
      <c r="F343">
        <v>5</v>
      </c>
      <c r="G343" s="5">
        <v>17971</v>
      </c>
      <c r="H343">
        <v>88</v>
      </c>
      <c r="I343" t="s">
        <v>66</v>
      </c>
      <c r="J343" s="5">
        <v>4797</v>
      </c>
      <c r="K343">
        <v>88</v>
      </c>
      <c r="L343">
        <f>'KRWSIP_Program_Baseline Data'!H344</f>
        <v>1.5</v>
      </c>
      <c r="M343">
        <v>0</v>
      </c>
      <c r="P343" s="6"/>
      <c r="V343" t="str">
        <f>IF($M343=1,G343,"")</f>
        <v/>
      </c>
    </row>
    <row r="344" spans="2:22" x14ac:dyDescent="0.3">
      <c r="B344">
        <v>241</v>
      </c>
      <c r="C344" t="s">
        <v>62</v>
      </c>
      <c r="D344">
        <v>5</v>
      </c>
      <c r="E344">
        <v>0</v>
      </c>
      <c r="F344">
        <v>5</v>
      </c>
      <c r="G344" s="5">
        <v>24891</v>
      </c>
      <c r="H344">
        <v>87</v>
      </c>
      <c r="I344" t="s">
        <v>67</v>
      </c>
      <c r="J344" s="5">
        <v>5028</v>
      </c>
      <c r="K344">
        <v>87</v>
      </c>
      <c r="L344">
        <f>'KRWSIP_Program_Baseline Data'!H345</f>
        <v>10.6</v>
      </c>
      <c r="M344">
        <v>0</v>
      </c>
      <c r="P344" s="6"/>
      <c r="V344" t="str">
        <f>IF($M344=1,G344,"")</f>
        <v/>
      </c>
    </row>
    <row r="345" spans="2:22" x14ac:dyDescent="0.3">
      <c r="B345">
        <v>271</v>
      </c>
      <c r="C345" t="s">
        <v>63</v>
      </c>
      <c r="D345">
        <v>8</v>
      </c>
      <c r="E345">
        <v>0</v>
      </c>
      <c r="F345">
        <v>8</v>
      </c>
      <c r="G345" s="5">
        <v>23802</v>
      </c>
      <c r="H345">
        <v>91</v>
      </c>
      <c r="I345" t="s">
        <v>69</v>
      </c>
      <c r="J345" s="5">
        <v>4866</v>
      </c>
      <c r="K345">
        <v>91</v>
      </c>
      <c r="L345">
        <f>'KRWSIP_Program_Baseline Data'!H346</f>
        <v>7.9</v>
      </c>
      <c r="M345">
        <v>0</v>
      </c>
      <c r="P345" s="6"/>
      <c r="V345" t="str">
        <f>IF($M345=1,G345,"")</f>
        <v/>
      </c>
    </row>
    <row r="346" spans="2:22" x14ac:dyDescent="0.3">
      <c r="B346">
        <v>14</v>
      </c>
      <c r="C346" t="s">
        <v>62</v>
      </c>
      <c r="D346">
        <v>8</v>
      </c>
      <c r="E346">
        <v>0</v>
      </c>
      <c r="F346">
        <v>8</v>
      </c>
      <c r="G346" s="5">
        <v>14157</v>
      </c>
      <c r="H346">
        <v>52</v>
      </c>
      <c r="I346" t="s">
        <v>66</v>
      </c>
      <c r="J346" s="5">
        <v>4923</v>
      </c>
      <c r="K346">
        <v>52</v>
      </c>
      <c r="L346">
        <f>'KRWSIP_Program_Baseline Data'!H347</f>
        <v>12.9</v>
      </c>
      <c r="M346">
        <v>0</v>
      </c>
      <c r="P346" s="6"/>
      <c r="V346" t="str">
        <f>IF($M346=1,G346,"")</f>
        <v/>
      </c>
    </row>
    <row r="347" spans="2:22" x14ac:dyDescent="0.3">
      <c r="B347">
        <v>269</v>
      </c>
      <c r="C347" t="s">
        <v>65</v>
      </c>
      <c r="D347">
        <v>6</v>
      </c>
      <c r="E347">
        <v>0</v>
      </c>
      <c r="F347">
        <v>6</v>
      </c>
      <c r="G347" s="5">
        <v>32393</v>
      </c>
      <c r="H347">
        <v>73</v>
      </c>
      <c r="I347" t="s">
        <v>68</v>
      </c>
      <c r="J347" s="5">
        <v>5797</v>
      </c>
      <c r="K347">
        <v>73</v>
      </c>
      <c r="L347">
        <f>'KRWSIP_Program_Baseline Data'!H348</f>
        <v>2.4</v>
      </c>
      <c r="M347">
        <v>0</v>
      </c>
      <c r="P347" s="6"/>
      <c r="V347" t="str">
        <f>IF($M347=1,G347,"")</f>
        <v/>
      </c>
    </row>
    <row r="348" spans="2:22" x14ac:dyDescent="0.3">
      <c r="B348">
        <v>144</v>
      </c>
      <c r="C348" t="s">
        <v>63</v>
      </c>
      <c r="D348">
        <v>3</v>
      </c>
      <c r="E348">
        <v>0</v>
      </c>
      <c r="F348">
        <v>3</v>
      </c>
      <c r="G348" s="5">
        <v>38960</v>
      </c>
      <c r="H348">
        <v>27</v>
      </c>
      <c r="I348" t="s">
        <v>68</v>
      </c>
      <c r="J348" s="5">
        <v>3478</v>
      </c>
      <c r="K348">
        <v>27</v>
      </c>
      <c r="L348">
        <f>'KRWSIP_Program_Baseline Data'!H349</f>
        <v>4.5999999999999996</v>
      </c>
      <c r="M348">
        <v>0</v>
      </c>
      <c r="P348" s="6"/>
      <c r="V348" t="str">
        <f>IF($M348=1,G348,"")</f>
        <v/>
      </c>
    </row>
    <row r="349" spans="2:22" x14ac:dyDescent="0.3">
      <c r="B349">
        <v>112</v>
      </c>
      <c r="C349" t="s">
        <v>62</v>
      </c>
      <c r="D349">
        <v>8</v>
      </c>
      <c r="E349">
        <v>0</v>
      </c>
      <c r="F349">
        <v>8</v>
      </c>
      <c r="G349" s="5">
        <v>23984</v>
      </c>
      <c r="H349">
        <v>95</v>
      </c>
      <c r="I349" t="s">
        <v>66</v>
      </c>
      <c r="J349" s="5">
        <v>5117</v>
      </c>
      <c r="K349">
        <v>95</v>
      </c>
      <c r="L349">
        <f>'KRWSIP_Program_Baseline Data'!H350</f>
        <v>1.9</v>
      </c>
      <c r="M349">
        <v>0</v>
      </c>
      <c r="P349" s="6"/>
      <c r="V349" t="str">
        <f>IF($M349=1,G349,"")</f>
        <v/>
      </c>
    </row>
    <row r="350" spans="2:22" x14ac:dyDescent="0.3">
      <c r="B350">
        <v>325</v>
      </c>
      <c r="C350" t="s">
        <v>62</v>
      </c>
      <c r="D350">
        <v>2</v>
      </c>
      <c r="E350">
        <v>0</v>
      </c>
      <c r="F350">
        <v>2</v>
      </c>
      <c r="G350" s="5">
        <v>20810</v>
      </c>
      <c r="H350">
        <v>91</v>
      </c>
      <c r="I350" t="s">
        <v>68</v>
      </c>
      <c r="J350" s="5">
        <v>4084</v>
      </c>
      <c r="K350">
        <v>91</v>
      </c>
      <c r="L350">
        <f>'KRWSIP_Program_Baseline Data'!H351</f>
        <v>11.5</v>
      </c>
      <c r="M350">
        <v>0</v>
      </c>
      <c r="P350" s="6"/>
      <c r="V350" t="str">
        <f>IF($M350=1,G350,"")</f>
        <v/>
      </c>
    </row>
    <row r="351" spans="2:22" x14ac:dyDescent="0.3">
      <c r="B351">
        <v>124</v>
      </c>
      <c r="C351" t="s">
        <v>64</v>
      </c>
      <c r="D351">
        <v>2</v>
      </c>
      <c r="E351">
        <v>0</v>
      </c>
      <c r="F351">
        <v>2</v>
      </c>
      <c r="G351" s="5">
        <v>17932</v>
      </c>
      <c r="H351">
        <v>103</v>
      </c>
      <c r="I351" t="s">
        <v>68</v>
      </c>
      <c r="J351" s="5">
        <v>2754</v>
      </c>
      <c r="K351">
        <v>103</v>
      </c>
      <c r="L351">
        <f>'KRWSIP_Program_Baseline Data'!H352</f>
        <v>7.9</v>
      </c>
      <c r="M351">
        <v>0</v>
      </c>
      <c r="P351" s="6"/>
      <c r="V351" t="str">
        <f>IF($M351=1,G351,"")</f>
        <v/>
      </c>
    </row>
    <row r="352" spans="2:22" x14ac:dyDescent="0.3">
      <c r="B352">
        <v>367</v>
      </c>
      <c r="C352" t="s">
        <v>65</v>
      </c>
      <c r="D352">
        <v>7</v>
      </c>
      <c r="E352">
        <v>0</v>
      </c>
      <c r="F352">
        <v>7</v>
      </c>
      <c r="G352" s="5">
        <v>25912</v>
      </c>
      <c r="H352">
        <v>32</v>
      </c>
      <c r="I352" t="s">
        <v>68</v>
      </c>
      <c r="J352" s="5">
        <v>6546</v>
      </c>
      <c r="K352">
        <v>32</v>
      </c>
      <c r="L352">
        <f>'KRWSIP_Program_Baseline Data'!H353</f>
        <v>3.4</v>
      </c>
      <c r="M352">
        <v>0</v>
      </c>
      <c r="P352" s="6"/>
      <c r="V352" t="str">
        <f>IF($M352=1,G352,"")</f>
        <v/>
      </c>
    </row>
    <row r="353" spans="2:22" x14ac:dyDescent="0.3">
      <c r="B353">
        <v>180</v>
      </c>
      <c r="C353" t="s">
        <v>65</v>
      </c>
      <c r="D353">
        <v>7</v>
      </c>
      <c r="E353">
        <v>0</v>
      </c>
      <c r="F353">
        <v>7</v>
      </c>
      <c r="G353" s="5">
        <v>16504</v>
      </c>
      <c r="H353">
        <v>55</v>
      </c>
      <c r="I353" t="s">
        <v>67</v>
      </c>
      <c r="J353" s="5">
        <v>5642</v>
      </c>
      <c r="K353">
        <v>55</v>
      </c>
      <c r="L353">
        <f>'KRWSIP_Program_Baseline Data'!H354</f>
        <v>5.6</v>
      </c>
      <c r="M353">
        <v>0</v>
      </c>
      <c r="P353" s="6"/>
      <c r="V353" t="str">
        <f>IF($M353=1,G353,"")</f>
        <v/>
      </c>
    </row>
    <row r="354" spans="2:22" x14ac:dyDescent="0.3">
      <c r="B354">
        <v>386</v>
      </c>
      <c r="C354" t="s">
        <v>63</v>
      </c>
      <c r="D354">
        <v>4</v>
      </c>
      <c r="E354">
        <v>0</v>
      </c>
      <c r="F354">
        <v>4</v>
      </c>
      <c r="G354" s="5">
        <v>20582</v>
      </c>
      <c r="H354">
        <v>68</v>
      </c>
      <c r="I354" t="s">
        <v>66</v>
      </c>
      <c r="J354" s="5">
        <v>4458</v>
      </c>
      <c r="K354">
        <v>68</v>
      </c>
      <c r="L354">
        <f>'KRWSIP_Program_Baseline Data'!H355</f>
        <v>4.8</v>
      </c>
      <c r="M354">
        <v>0</v>
      </c>
      <c r="P354" s="6"/>
      <c r="V354" t="str">
        <f>IF($M354=1,G354,"")</f>
        <v/>
      </c>
    </row>
    <row r="355" spans="2:22" x14ac:dyDescent="0.3">
      <c r="B355">
        <v>7</v>
      </c>
      <c r="C355" t="s">
        <v>63</v>
      </c>
      <c r="D355">
        <v>6</v>
      </c>
      <c r="E355">
        <v>0</v>
      </c>
      <c r="F355">
        <v>6</v>
      </c>
      <c r="G355" s="5">
        <v>33012</v>
      </c>
      <c r="H355">
        <v>22</v>
      </c>
      <c r="I355" t="s">
        <v>67</v>
      </c>
      <c r="J355" s="5">
        <v>5462</v>
      </c>
      <c r="K355">
        <v>22</v>
      </c>
      <c r="L355">
        <f>'KRWSIP_Program_Baseline Data'!H356</f>
        <v>14.5</v>
      </c>
      <c r="M355">
        <v>0</v>
      </c>
      <c r="P355" s="6"/>
      <c r="V355" t="str">
        <f>IF($M355=1,G355,"")</f>
        <v/>
      </c>
    </row>
    <row r="356" spans="2:22" x14ac:dyDescent="0.3">
      <c r="B356">
        <v>58</v>
      </c>
      <c r="C356" t="s">
        <v>63</v>
      </c>
      <c r="D356">
        <v>3</v>
      </c>
      <c r="E356">
        <v>0</v>
      </c>
      <c r="F356">
        <v>3</v>
      </c>
      <c r="G356" s="5">
        <v>35868</v>
      </c>
      <c r="H356">
        <v>37</v>
      </c>
      <c r="I356" t="s">
        <v>69</v>
      </c>
      <c r="J356" s="5">
        <v>3371</v>
      </c>
      <c r="K356">
        <v>37</v>
      </c>
      <c r="L356">
        <f>'KRWSIP_Program_Baseline Data'!H357</f>
        <v>6.9</v>
      </c>
      <c r="M356">
        <v>0</v>
      </c>
      <c r="P356" s="6"/>
      <c r="V356" t="str">
        <f>IF($M356=1,G356,"")</f>
        <v/>
      </c>
    </row>
    <row r="357" spans="2:22" x14ac:dyDescent="0.3">
      <c r="B357">
        <v>54</v>
      </c>
      <c r="C357" t="s">
        <v>63</v>
      </c>
      <c r="D357">
        <v>6</v>
      </c>
      <c r="E357">
        <v>0</v>
      </c>
      <c r="F357">
        <v>6</v>
      </c>
      <c r="G357" s="5">
        <v>36105</v>
      </c>
      <c r="H357">
        <v>20</v>
      </c>
      <c r="I357" t="s">
        <v>68</v>
      </c>
      <c r="J357" s="5">
        <v>5323</v>
      </c>
      <c r="K357">
        <v>20</v>
      </c>
      <c r="L357">
        <f>'KRWSIP_Program_Baseline Data'!H358</f>
        <v>11.9</v>
      </c>
      <c r="M357">
        <v>0</v>
      </c>
      <c r="P357" s="6"/>
      <c r="V357" t="str">
        <f>IF($M357=1,G357,"")</f>
        <v/>
      </c>
    </row>
    <row r="358" spans="2:22" x14ac:dyDescent="0.3">
      <c r="B358">
        <v>91</v>
      </c>
      <c r="C358" t="s">
        <v>65</v>
      </c>
      <c r="D358">
        <v>3</v>
      </c>
      <c r="E358">
        <v>0</v>
      </c>
      <c r="F358">
        <v>3</v>
      </c>
      <c r="G358" s="5">
        <v>26285</v>
      </c>
      <c r="H358">
        <v>58</v>
      </c>
      <c r="I358" t="s">
        <v>67</v>
      </c>
      <c r="J358" s="5">
        <v>4161</v>
      </c>
      <c r="K358">
        <v>58</v>
      </c>
      <c r="L358">
        <f>'KRWSIP_Program_Baseline Data'!H359</f>
        <v>7.6</v>
      </c>
      <c r="M358">
        <v>0</v>
      </c>
      <c r="P358" s="6"/>
      <c r="V358" t="str">
        <f>IF($M358=1,G358,"")</f>
        <v/>
      </c>
    </row>
    <row r="359" spans="2:22" x14ac:dyDescent="0.3">
      <c r="B359">
        <v>87</v>
      </c>
      <c r="C359" t="s">
        <v>64</v>
      </c>
      <c r="D359">
        <v>8</v>
      </c>
      <c r="E359">
        <v>0</v>
      </c>
      <c r="F359">
        <v>8</v>
      </c>
      <c r="G359" s="5">
        <v>24838</v>
      </c>
      <c r="H359">
        <v>64</v>
      </c>
      <c r="I359" t="s">
        <v>68</v>
      </c>
      <c r="J359" s="5">
        <v>5261</v>
      </c>
      <c r="K359">
        <v>64</v>
      </c>
      <c r="L359">
        <f>'KRWSIP_Program_Baseline Data'!H360</f>
        <v>11.1</v>
      </c>
      <c r="M359">
        <v>0</v>
      </c>
      <c r="P359" s="6"/>
      <c r="V359" t="str">
        <f>IF($M359=1,G359,"")</f>
        <v/>
      </c>
    </row>
    <row r="360" spans="2:22" x14ac:dyDescent="0.3">
      <c r="B360">
        <v>242</v>
      </c>
      <c r="C360" t="s">
        <v>63</v>
      </c>
      <c r="D360">
        <v>7</v>
      </c>
      <c r="E360">
        <v>0</v>
      </c>
      <c r="F360">
        <v>7</v>
      </c>
      <c r="G360" s="5">
        <v>25324</v>
      </c>
      <c r="H360">
        <v>34</v>
      </c>
      <c r="I360" t="s">
        <v>69</v>
      </c>
      <c r="J360" s="5">
        <v>4319</v>
      </c>
      <c r="K360">
        <v>34</v>
      </c>
      <c r="L360">
        <f>'KRWSIP_Program_Baseline Data'!H361</f>
        <v>8.3000000000000007</v>
      </c>
      <c r="M360">
        <v>0</v>
      </c>
      <c r="P360" s="6"/>
      <c r="V360" t="str">
        <f>IF($M360=1,G360,"")</f>
        <v/>
      </c>
    </row>
    <row r="361" spans="2:22" x14ac:dyDescent="0.3">
      <c r="B361">
        <v>344</v>
      </c>
      <c r="C361" t="s">
        <v>63</v>
      </c>
      <c r="D361">
        <v>8</v>
      </c>
      <c r="E361">
        <v>0</v>
      </c>
      <c r="F361">
        <v>8</v>
      </c>
      <c r="G361" s="5">
        <v>42798</v>
      </c>
      <c r="H361">
        <v>59</v>
      </c>
      <c r="I361" t="s">
        <v>69</v>
      </c>
      <c r="J361" s="5">
        <v>5464</v>
      </c>
      <c r="K361">
        <v>59</v>
      </c>
      <c r="L361">
        <f>'KRWSIP_Program_Baseline Data'!H362</f>
        <v>7.4</v>
      </c>
      <c r="M361">
        <v>0</v>
      </c>
      <c r="P361" s="6"/>
      <c r="V361" t="str">
        <f>IF($M361=1,G361,"")</f>
        <v/>
      </c>
    </row>
    <row r="362" spans="2:22" x14ac:dyDescent="0.3">
      <c r="B362">
        <v>156</v>
      </c>
      <c r="C362" t="s">
        <v>64</v>
      </c>
      <c r="D362">
        <v>8</v>
      </c>
      <c r="E362">
        <v>0</v>
      </c>
      <c r="F362">
        <v>8</v>
      </c>
      <c r="G362" s="5">
        <v>25581</v>
      </c>
      <c r="H362">
        <v>95</v>
      </c>
      <c r="I362" t="s">
        <v>68</v>
      </c>
      <c r="J362" s="5">
        <v>6587</v>
      </c>
      <c r="K362">
        <v>95</v>
      </c>
      <c r="L362">
        <f>'KRWSIP_Program_Baseline Data'!H363</f>
        <v>5.0999999999999996</v>
      </c>
      <c r="M362">
        <v>0</v>
      </c>
      <c r="P362" s="6"/>
      <c r="V362" t="str">
        <f>IF($M362=1,G362,"")</f>
        <v/>
      </c>
    </row>
    <row r="363" spans="2:22" x14ac:dyDescent="0.3">
      <c r="B363">
        <v>134</v>
      </c>
      <c r="C363" t="s">
        <v>65</v>
      </c>
      <c r="D363">
        <v>3</v>
      </c>
      <c r="E363">
        <v>0</v>
      </c>
      <c r="F363">
        <v>3</v>
      </c>
      <c r="G363" s="5">
        <v>32352</v>
      </c>
      <c r="H363">
        <v>57</v>
      </c>
      <c r="I363" t="s">
        <v>68</v>
      </c>
      <c r="J363" s="5">
        <v>3695</v>
      </c>
      <c r="K363">
        <v>57</v>
      </c>
      <c r="L363">
        <f>'KRWSIP_Program_Baseline Data'!H364</f>
        <v>6.9</v>
      </c>
      <c r="M363">
        <v>0</v>
      </c>
      <c r="P363" s="6"/>
      <c r="V363" t="str">
        <f>IF($M363=1,G363,"")</f>
        <v/>
      </c>
    </row>
    <row r="364" spans="2:22" x14ac:dyDescent="0.3">
      <c r="B364">
        <v>200</v>
      </c>
      <c r="C364" t="s">
        <v>62</v>
      </c>
      <c r="D364">
        <v>3</v>
      </c>
      <c r="E364">
        <v>0</v>
      </c>
      <c r="F364">
        <v>3</v>
      </c>
      <c r="G364" s="5">
        <v>26399</v>
      </c>
      <c r="H364">
        <v>88</v>
      </c>
      <c r="I364" t="s">
        <v>68</v>
      </c>
      <c r="J364" s="5">
        <v>4333</v>
      </c>
      <c r="K364">
        <v>88</v>
      </c>
      <c r="L364">
        <f>'KRWSIP_Program_Baseline Data'!H365</f>
        <v>1.4</v>
      </c>
      <c r="M364">
        <v>0</v>
      </c>
      <c r="P364" s="6"/>
      <c r="V364" t="str">
        <f>IF($M364=1,G364,"")</f>
        <v/>
      </c>
    </row>
    <row r="365" spans="2:22" x14ac:dyDescent="0.3">
      <c r="B365">
        <v>274</v>
      </c>
      <c r="C365" t="s">
        <v>65</v>
      </c>
      <c r="D365">
        <v>2</v>
      </c>
      <c r="E365">
        <v>0</v>
      </c>
      <c r="F365">
        <v>2</v>
      </c>
      <c r="G365" s="5">
        <v>37995</v>
      </c>
      <c r="H365">
        <v>40</v>
      </c>
      <c r="I365" t="s">
        <v>68</v>
      </c>
      <c r="J365" s="5">
        <v>3194</v>
      </c>
      <c r="K365">
        <v>40</v>
      </c>
      <c r="L365">
        <f>'KRWSIP_Program_Baseline Data'!H366</f>
        <v>9.1999999999999993</v>
      </c>
      <c r="M365">
        <v>0</v>
      </c>
      <c r="P365" s="6"/>
      <c r="V365" t="str">
        <f>IF($M365=1,G365,"")</f>
        <v/>
      </c>
    </row>
    <row r="366" spans="2:22" x14ac:dyDescent="0.3">
      <c r="B366">
        <v>392</v>
      </c>
      <c r="C366" t="s">
        <v>65</v>
      </c>
      <c r="D366">
        <v>8</v>
      </c>
      <c r="E366">
        <v>0</v>
      </c>
      <c r="F366">
        <v>8</v>
      </c>
      <c r="G366" s="5">
        <v>22307</v>
      </c>
      <c r="H366">
        <v>33</v>
      </c>
      <c r="I366" t="s">
        <v>68</v>
      </c>
      <c r="J366" s="5">
        <v>4682</v>
      </c>
      <c r="K366">
        <v>33</v>
      </c>
      <c r="L366">
        <f>'KRWSIP_Program_Baseline Data'!H367</f>
        <v>8</v>
      </c>
      <c r="M366">
        <v>0</v>
      </c>
      <c r="P366" s="6"/>
      <c r="V366" t="str">
        <f>IF($M366=1,G366,"")</f>
        <v/>
      </c>
    </row>
    <row r="367" spans="2:22" x14ac:dyDescent="0.3">
      <c r="B367">
        <v>369</v>
      </c>
      <c r="C367" t="s">
        <v>65</v>
      </c>
      <c r="D367">
        <v>2</v>
      </c>
      <c r="E367">
        <v>0</v>
      </c>
      <c r="F367">
        <v>2</v>
      </c>
      <c r="G367" s="5">
        <v>30219</v>
      </c>
      <c r="H367">
        <v>56</v>
      </c>
      <c r="I367" t="s">
        <v>67</v>
      </c>
      <c r="J367" s="5">
        <v>2721</v>
      </c>
      <c r="K367">
        <v>56</v>
      </c>
      <c r="L367">
        <f>'KRWSIP_Program_Baseline Data'!H368</f>
        <v>1.3</v>
      </c>
      <c r="M367">
        <v>0</v>
      </c>
      <c r="P367" s="6"/>
      <c r="V367" t="str">
        <f>IF($M367=1,G367,"")</f>
        <v/>
      </c>
    </row>
    <row r="368" spans="2:22" x14ac:dyDescent="0.3">
      <c r="B368">
        <v>199</v>
      </c>
      <c r="C368" t="s">
        <v>64</v>
      </c>
      <c r="D368">
        <v>2</v>
      </c>
      <c r="E368">
        <v>0</v>
      </c>
      <c r="F368">
        <v>2</v>
      </c>
      <c r="G368" s="5">
        <v>31220</v>
      </c>
      <c r="H368">
        <v>55</v>
      </c>
      <c r="I368" t="s">
        <v>68</v>
      </c>
      <c r="J368" s="5">
        <v>4583</v>
      </c>
      <c r="K368">
        <v>55</v>
      </c>
      <c r="L368">
        <f>'KRWSIP_Program_Baseline Data'!H369</f>
        <v>10.9</v>
      </c>
      <c r="M368">
        <v>0</v>
      </c>
      <c r="P368" s="6"/>
      <c r="V368" t="str">
        <f>IF($M368=1,G368,"")</f>
        <v/>
      </c>
    </row>
    <row r="369" spans="2:22" x14ac:dyDescent="0.3">
      <c r="B369">
        <v>219</v>
      </c>
      <c r="C369" t="s">
        <v>62</v>
      </c>
      <c r="D369">
        <v>5</v>
      </c>
      <c r="E369">
        <v>0</v>
      </c>
      <c r="F369">
        <v>5</v>
      </c>
      <c r="G369" s="5">
        <v>24882</v>
      </c>
      <c r="H369">
        <v>113</v>
      </c>
      <c r="I369" t="s">
        <v>68</v>
      </c>
      <c r="J369" s="5">
        <v>4923</v>
      </c>
      <c r="K369">
        <v>113</v>
      </c>
      <c r="L369">
        <f>'KRWSIP_Program_Baseline Data'!H370</f>
        <v>10.5</v>
      </c>
      <c r="M369">
        <v>0</v>
      </c>
      <c r="P369" s="6"/>
      <c r="V369" t="str">
        <f>IF($M369=1,G369,"")</f>
        <v/>
      </c>
    </row>
    <row r="370" spans="2:22" x14ac:dyDescent="0.3">
      <c r="B370">
        <v>12</v>
      </c>
      <c r="C370" t="s">
        <v>63</v>
      </c>
      <c r="D370">
        <v>6</v>
      </c>
      <c r="E370">
        <v>0</v>
      </c>
      <c r="F370">
        <v>6</v>
      </c>
      <c r="G370" s="5">
        <v>25813</v>
      </c>
      <c r="H370">
        <v>98</v>
      </c>
      <c r="I370" t="s">
        <v>67</v>
      </c>
      <c r="J370" s="5">
        <v>4588</v>
      </c>
      <c r="K370">
        <v>98</v>
      </c>
      <c r="L370">
        <f>'KRWSIP_Program_Baseline Data'!H371</f>
        <v>7.3</v>
      </c>
      <c r="M370">
        <v>0</v>
      </c>
      <c r="P370" s="6"/>
      <c r="V370" t="str">
        <f>IF($M370=1,G370,"")</f>
        <v/>
      </c>
    </row>
    <row r="371" spans="2:22" x14ac:dyDescent="0.3">
      <c r="B371">
        <v>300</v>
      </c>
      <c r="C371" t="s">
        <v>64</v>
      </c>
      <c r="D371">
        <v>8</v>
      </c>
      <c r="E371">
        <v>0</v>
      </c>
      <c r="F371">
        <v>8</v>
      </c>
      <c r="G371" s="5">
        <v>32858</v>
      </c>
      <c r="H371">
        <v>98</v>
      </c>
      <c r="I371" t="s">
        <v>69</v>
      </c>
      <c r="J371" s="5">
        <v>6616</v>
      </c>
      <c r="K371">
        <v>98</v>
      </c>
      <c r="L371">
        <f>'KRWSIP_Program_Baseline Data'!H372</f>
        <v>1.7</v>
      </c>
      <c r="M371">
        <v>0</v>
      </c>
      <c r="P371" s="6"/>
      <c r="V371" t="str">
        <f>IF($M371=1,G371,"")</f>
        <v/>
      </c>
    </row>
    <row r="372" spans="2:22" x14ac:dyDescent="0.3">
      <c r="B372">
        <v>74</v>
      </c>
      <c r="C372" t="s">
        <v>62</v>
      </c>
      <c r="D372">
        <v>6</v>
      </c>
      <c r="E372">
        <v>0</v>
      </c>
      <c r="F372">
        <v>6</v>
      </c>
      <c r="G372" s="5">
        <v>34289</v>
      </c>
      <c r="H372">
        <v>20</v>
      </c>
      <c r="I372" t="s">
        <v>68</v>
      </c>
      <c r="J372" s="5">
        <v>3941</v>
      </c>
      <c r="K372">
        <v>20</v>
      </c>
      <c r="L372">
        <f>'KRWSIP_Program_Baseline Data'!H373</f>
        <v>2.6</v>
      </c>
      <c r="M372">
        <v>0</v>
      </c>
      <c r="P372" s="6"/>
      <c r="V372" t="str">
        <f>IF($M372=1,G372,"")</f>
        <v/>
      </c>
    </row>
    <row r="373" spans="2:22" x14ac:dyDescent="0.3">
      <c r="B373">
        <v>253</v>
      </c>
      <c r="C373" t="s">
        <v>64</v>
      </c>
      <c r="D373">
        <v>5</v>
      </c>
      <c r="E373">
        <v>0</v>
      </c>
      <c r="F373">
        <v>5</v>
      </c>
      <c r="G373" s="5">
        <v>31559</v>
      </c>
      <c r="H373">
        <v>29</v>
      </c>
      <c r="I373" t="s">
        <v>66</v>
      </c>
      <c r="J373" s="5">
        <v>5588</v>
      </c>
      <c r="K373">
        <v>29</v>
      </c>
      <c r="L373">
        <f>'KRWSIP_Program_Baseline Data'!H374</f>
        <v>10.9</v>
      </c>
      <c r="M373">
        <v>0</v>
      </c>
      <c r="P373" s="6"/>
      <c r="V373" t="str">
        <f>IF($M373=1,G373,"")</f>
        <v/>
      </c>
    </row>
    <row r="374" spans="2:22" x14ac:dyDescent="0.3">
      <c r="B374">
        <v>18</v>
      </c>
      <c r="C374" t="s">
        <v>62</v>
      </c>
      <c r="D374">
        <v>4</v>
      </c>
      <c r="E374">
        <v>0</v>
      </c>
      <c r="F374">
        <v>4</v>
      </c>
      <c r="G374" s="5">
        <v>35539</v>
      </c>
      <c r="H374">
        <v>47</v>
      </c>
      <c r="I374" t="s">
        <v>66</v>
      </c>
      <c r="J374" s="5">
        <v>3321</v>
      </c>
      <c r="K374">
        <v>47</v>
      </c>
      <c r="L374">
        <f>'KRWSIP_Program_Baseline Data'!H375</f>
        <v>6.7</v>
      </c>
      <c r="M374">
        <v>0</v>
      </c>
      <c r="P374" s="6"/>
      <c r="V374" t="str">
        <f>IF($M374=1,G374,"")</f>
        <v/>
      </c>
    </row>
    <row r="375" spans="2:22" x14ac:dyDescent="0.3">
      <c r="B375">
        <v>47</v>
      </c>
      <c r="C375" t="s">
        <v>63</v>
      </c>
      <c r="D375">
        <v>5</v>
      </c>
      <c r="E375">
        <v>0</v>
      </c>
      <c r="F375">
        <v>5</v>
      </c>
      <c r="G375" s="5">
        <v>28300</v>
      </c>
      <c r="H375">
        <v>90</v>
      </c>
      <c r="I375" t="s">
        <v>67</v>
      </c>
      <c r="J375" s="5">
        <v>5935</v>
      </c>
      <c r="K375">
        <v>90</v>
      </c>
      <c r="L375">
        <f>'KRWSIP_Program_Baseline Data'!H376</f>
        <v>8.5</v>
      </c>
      <c r="M375">
        <v>0</v>
      </c>
      <c r="P375" s="6"/>
      <c r="V375" t="str">
        <f>IF($M375=1,G375,"")</f>
        <v/>
      </c>
    </row>
    <row r="376" spans="2:22" x14ac:dyDescent="0.3">
      <c r="B376">
        <v>137</v>
      </c>
      <c r="C376" t="s">
        <v>62</v>
      </c>
      <c r="D376">
        <v>4</v>
      </c>
      <c r="E376">
        <v>0</v>
      </c>
      <c r="F376">
        <v>4</v>
      </c>
      <c r="G376" s="5">
        <v>34234</v>
      </c>
      <c r="H376">
        <v>92</v>
      </c>
      <c r="I376" t="s">
        <v>68</v>
      </c>
      <c r="J376" s="5">
        <v>3989</v>
      </c>
      <c r="K376">
        <v>92</v>
      </c>
      <c r="L376">
        <f>'KRWSIP_Program_Baseline Data'!H377</f>
        <v>11.8</v>
      </c>
      <c r="M376">
        <v>0</v>
      </c>
      <c r="P376" s="6"/>
      <c r="V376" t="str">
        <f>IF($M376=1,G376,"")</f>
        <v/>
      </c>
    </row>
    <row r="377" spans="2:22" x14ac:dyDescent="0.3">
      <c r="B377">
        <v>216</v>
      </c>
      <c r="C377" t="s">
        <v>63</v>
      </c>
      <c r="D377">
        <v>8</v>
      </c>
      <c r="E377">
        <v>0</v>
      </c>
      <c r="F377">
        <v>8</v>
      </c>
      <c r="G377" s="5">
        <v>26706</v>
      </c>
      <c r="H377">
        <v>82</v>
      </c>
      <c r="I377" t="s">
        <v>69</v>
      </c>
      <c r="J377" s="5">
        <v>5836</v>
      </c>
      <c r="K377">
        <v>82</v>
      </c>
      <c r="L377">
        <f>'KRWSIP_Program_Baseline Data'!H378</f>
        <v>13.5</v>
      </c>
      <c r="M377">
        <v>0</v>
      </c>
      <c r="P377" s="6"/>
      <c r="V377" t="str">
        <f>IF($M377=1,G377,"")</f>
        <v/>
      </c>
    </row>
    <row r="378" spans="2:22" x14ac:dyDescent="0.3">
      <c r="B378">
        <v>379</v>
      </c>
      <c r="C378" t="s">
        <v>63</v>
      </c>
      <c r="D378">
        <v>2</v>
      </c>
      <c r="E378">
        <v>0</v>
      </c>
      <c r="F378">
        <v>2</v>
      </c>
      <c r="G378" s="5">
        <v>25900</v>
      </c>
      <c r="H378">
        <v>78</v>
      </c>
      <c r="I378" t="s">
        <v>68</v>
      </c>
      <c r="J378" s="5">
        <v>2888</v>
      </c>
      <c r="K378">
        <v>78</v>
      </c>
      <c r="L378">
        <f>'KRWSIP_Program_Baseline Data'!H379</f>
        <v>10.8</v>
      </c>
      <c r="M378">
        <v>0</v>
      </c>
      <c r="P378" s="6"/>
      <c r="V378" t="str">
        <f>IF($M378=1,G378,"")</f>
        <v/>
      </c>
    </row>
    <row r="379" spans="2:22" x14ac:dyDescent="0.3">
      <c r="B379">
        <v>17</v>
      </c>
      <c r="C379" t="s">
        <v>65</v>
      </c>
      <c r="D379">
        <v>3</v>
      </c>
      <c r="E379">
        <v>0</v>
      </c>
      <c r="F379">
        <v>3</v>
      </c>
      <c r="G379" s="5">
        <v>37188</v>
      </c>
      <c r="H379">
        <v>19</v>
      </c>
      <c r="I379" t="s">
        <v>69</v>
      </c>
      <c r="J379" s="5">
        <v>3505</v>
      </c>
      <c r="K379">
        <v>19</v>
      </c>
      <c r="L379">
        <f>'KRWSIP_Program_Baseline Data'!H380</f>
        <v>13.9</v>
      </c>
      <c r="M379">
        <v>0</v>
      </c>
      <c r="P379" s="6"/>
      <c r="V379" t="str">
        <f>IF($M379=1,G379,"")</f>
        <v/>
      </c>
    </row>
    <row r="380" spans="2:22" x14ac:dyDescent="0.3">
      <c r="B380">
        <v>37</v>
      </c>
      <c r="C380" t="s">
        <v>63</v>
      </c>
      <c r="D380">
        <v>3</v>
      </c>
      <c r="E380">
        <v>0</v>
      </c>
      <c r="F380">
        <v>3</v>
      </c>
      <c r="G380" s="5">
        <v>25534</v>
      </c>
      <c r="H380">
        <v>54</v>
      </c>
      <c r="I380" t="s">
        <v>68</v>
      </c>
      <c r="J380" s="5">
        <v>4840</v>
      </c>
      <c r="K380">
        <v>54</v>
      </c>
      <c r="L380">
        <f>'KRWSIP_Program_Baseline Data'!H381</f>
        <v>0.6</v>
      </c>
      <c r="M380">
        <v>0</v>
      </c>
      <c r="P380" s="6"/>
      <c r="V380" t="str">
        <f>IF($M380=1,G380,"")</f>
        <v/>
      </c>
    </row>
    <row r="381" spans="2:22" x14ac:dyDescent="0.3">
      <c r="B381">
        <v>107</v>
      </c>
      <c r="C381" t="s">
        <v>65</v>
      </c>
      <c r="D381">
        <v>4</v>
      </c>
      <c r="E381">
        <v>0</v>
      </c>
      <c r="F381">
        <v>4</v>
      </c>
      <c r="G381" s="5">
        <v>15349</v>
      </c>
      <c r="H381">
        <v>81</v>
      </c>
      <c r="I381" t="s">
        <v>67</v>
      </c>
      <c r="J381" s="5">
        <v>4711</v>
      </c>
      <c r="K381">
        <v>81</v>
      </c>
      <c r="L381">
        <f>'KRWSIP_Program_Baseline Data'!H382</f>
        <v>8</v>
      </c>
      <c r="M381">
        <v>0</v>
      </c>
      <c r="P381" s="6"/>
      <c r="V381" t="str">
        <f>IF($M381=1,G381,"")</f>
        <v/>
      </c>
    </row>
    <row r="382" spans="2:22" x14ac:dyDescent="0.3">
      <c r="B382">
        <v>204</v>
      </c>
      <c r="C382" t="s">
        <v>64</v>
      </c>
      <c r="D382">
        <v>6</v>
      </c>
      <c r="E382">
        <v>0</v>
      </c>
      <c r="F382">
        <v>6</v>
      </c>
      <c r="G382" s="5">
        <v>28502</v>
      </c>
      <c r="H382">
        <v>100</v>
      </c>
      <c r="I382" t="s">
        <v>68</v>
      </c>
      <c r="J382" s="5">
        <v>4190</v>
      </c>
      <c r="K382">
        <v>100</v>
      </c>
      <c r="L382">
        <f>'KRWSIP_Program_Baseline Data'!H383</f>
        <v>6.3</v>
      </c>
      <c r="M382">
        <v>0</v>
      </c>
      <c r="P382" s="6"/>
      <c r="V382" t="str">
        <f>IF($M382=1,G382,"")</f>
        <v/>
      </c>
    </row>
    <row r="383" spans="2:22" x14ac:dyDescent="0.3">
      <c r="B383">
        <v>24</v>
      </c>
      <c r="C383" t="s">
        <v>65</v>
      </c>
      <c r="D383">
        <v>5</v>
      </c>
      <c r="E383">
        <v>0</v>
      </c>
      <c r="F383">
        <v>5</v>
      </c>
      <c r="G383" s="5">
        <v>27897</v>
      </c>
      <c r="H383">
        <v>59</v>
      </c>
      <c r="I383" t="s">
        <v>67</v>
      </c>
      <c r="J383" s="5">
        <v>5891</v>
      </c>
      <c r="K383">
        <v>59</v>
      </c>
      <c r="L383">
        <f>'KRWSIP_Program_Baseline Data'!H384</f>
        <v>7</v>
      </c>
      <c r="M383">
        <v>0</v>
      </c>
      <c r="P383" s="6"/>
      <c r="V383" t="str">
        <f>IF($M383=1,G383,"")</f>
        <v/>
      </c>
    </row>
    <row r="384" spans="2:22" x14ac:dyDescent="0.3">
      <c r="B384">
        <v>261</v>
      </c>
      <c r="C384" t="s">
        <v>63</v>
      </c>
      <c r="D384">
        <v>4</v>
      </c>
      <c r="E384">
        <v>0</v>
      </c>
      <c r="F384">
        <v>4</v>
      </c>
      <c r="G384" s="5">
        <v>18940</v>
      </c>
      <c r="H384">
        <v>74</v>
      </c>
      <c r="I384" t="s">
        <v>69</v>
      </c>
      <c r="J384" s="5">
        <v>3573</v>
      </c>
      <c r="K384">
        <v>74</v>
      </c>
      <c r="L384">
        <f>'KRWSIP_Program_Baseline Data'!H385</f>
        <v>14.2</v>
      </c>
      <c r="M384">
        <v>0</v>
      </c>
      <c r="P384" s="6"/>
      <c r="V384" t="str">
        <f>IF($M384=1,G384,"")</f>
        <v/>
      </c>
    </row>
    <row r="385" spans="2:22" x14ac:dyDescent="0.3">
      <c r="B385">
        <v>232</v>
      </c>
      <c r="C385" t="s">
        <v>62</v>
      </c>
      <c r="D385">
        <v>2</v>
      </c>
      <c r="E385">
        <v>0</v>
      </c>
      <c r="F385">
        <v>2</v>
      </c>
      <c r="G385" s="5">
        <v>28813</v>
      </c>
      <c r="H385">
        <v>81</v>
      </c>
      <c r="I385" t="s">
        <v>69</v>
      </c>
      <c r="J385" s="5">
        <v>3649</v>
      </c>
      <c r="K385">
        <v>81</v>
      </c>
      <c r="L385">
        <f>'KRWSIP_Program_Baseline Data'!H386</f>
        <v>1.4</v>
      </c>
      <c r="M385">
        <v>0</v>
      </c>
      <c r="P385" s="6"/>
      <c r="V385" t="str">
        <f>IF($M385=1,G385,"")</f>
        <v/>
      </c>
    </row>
    <row r="386" spans="2:22" x14ac:dyDescent="0.3">
      <c r="B386">
        <v>90</v>
      </c>
      <c r="C386" t="s">
        <v>64</v>
      </c>
      <c r="D386">
        <v>7</v>
      </c>
      <c r="E386">
        <v>0</v>
      </c>
      <c r="F386">
        <v>7</v>
      </c>
      <c r="G386" s="5">
        <v>28779</v>
      </c>
      <c r="H386">
        <v>106</v>
      </c>
      <c r="I386" t="s">
        <v>69</v>
      </c>
      <c r="J386" s="5">
        <v>4675</v>
      </c>
      <c r="K386">
        <v>106</v>
      </c>
      <c r="L386">
        <f>'KRWSIP_Program_Baseline Data'!H387</f>
        <v>0.7</v>
      </c>
      <c r="M386">
        <v>0</v>
      </c>
      <c r="P386" s="6"/>
      <c r="V386" t="str">
        <f>IF($M386=1,G386,"")</f>
        <v/>
      </c>
    </row>
    <row r="387" spans="2:22" x14ac:dyDescent="0.3">
      <c r="B387">
        <v>122</v>
      </c>
      <c r="C387" t="s">
        <v>64</v>
      </c>
      <c r="D387">
        <v>3</v>
      </c>
      <c r="E387">
        <v>0</v>
      </c>
      <c r="F387">
        <v>3</v>
      </c>
      <c r="G387" s="5">
        <v>15597</v>
      </c>
      <c r="H387">
        <v>97</v>
      </c>
      <c r="I387" t="s">
        <v>67</v>
      </c>
      <c r="J387" s="5">
        <v>2638</v>
      </c>
      <c r="K387">
        <v>97</v>
      </c>
      <c r="L387">
        <f>'KRWSIP_Program_Baseline Data'!H388</f>
        <v>10.7</v>
      </c>
      <c r="M387">
        <v>0</v>
      </c>
      <c r="P387" s="6"/>
      <c r="V387" t="str">
        <f>IF($M387=1,G387,"")</f>
        <v/>
      </c>
    </row>
    <row r="388" spans="2:22" x14ac:dyDescent="0.3">
      <c r="B388">
        <v>71</v>
      </c>
      <c r="C388" t="s">
        <v>63</v>
      </c>
      <c r="D388">
        <v>6</v>
      </c>
      <c r="E388">
        <v>0</v>
      </c>
      <c r="F388">
        <v>6</v>
      </c>
      <c r="G388" s="5">
        <v>25237</v>
      </c>
      <c r="H388">
        <v>67</v>
      </c>
      <c r="I388" t="s">
        <v>68</v>
      </c>
      <c r="J388" s="5">
        <v>5995</v>
      </c>
      <c r="K388">
        <v>67</v>
      </c>
      <c r="L388">
        <f>'KRWSIP_Program_Baseline Data'!H389</f>
        <v>11.9</v>
      </c>
      <c r="M388">
        <v>0</v>
      </c>
      <c r="P388" s="6"/>
      <c r="V388" t="str">
        <f>IF($M388=1,G388,"")</f>
        <v/>
      </c>
    </row>
    <row r="389" spans="2:22" x14ac:dyDescent="0.3">
      <c r="B389">
        <v>187</v>
      </c>
      <c r="C389" t="s">
        <v>64</v>
      </c>
      <c r="D389">
        <v>6</v>
      </c>
      <c r="E389">
        <v>0</v>
      </c>
      <c r="F389">
        <v>6</v>
      </c>
      <c r="G389" s="5">
        <v>20136</v>
      </c>
      <c r="H389">
        <v>71</v>
      </c>
      <c r="I389" t="s">
        <v>67</v>
      </c>
      <c r="J389" s="5">
        <v>5863</v>
      </c>
      <c r="K389">
        <v>71</v>
      </c>
      <c r="L389">
        <f>'KRWSIP_Program_Baseline Data'!H390</f>
        <v>4.7</v>
      </c>
      <c r="M389">
        <v>0</v>
      </c>
      <c r="P389" s="6"/>
      <c r="V389" t="str">
        <f>IF($M389=1,G389,"")</f>
        <v/>
      </c>
    </row>
    <row r="390" spans="2:22" x14ac:dyDescent="0.3">
      <c r="B390">
        <v>46</v>
      </c>
      <c r="C390" t="s">
        <v>64</v>
      </c>
      <c r="D390">
        <v>8</v>
      </c>
      <c r="E390">
        <v>0</v>
      </c>
      <c r="F390">
        <v>8</v>
      </c>
      <c r="G390" s="5">
        <v>19730</v>
      </c>
      <c r="H390">
        <v>92</v>
      </c>
      <c r="I390" t="s">
        <v>68</v>
      </c>
      <c r="J390" s="5">
        <v>5694</v>
      </c>
      <c r="K390">
        <v>92</v>
      </c>
      <c r="L390">
        <f>'KRWSIP_Program_Baseline Data'!H391</f>
        <v>12.5</v>
      </c>
      <c r="M390">
        <v>0</v>
      </c>
      <c r="P390" s="6"/>
      <c r="V390" t="str">
        <f>IF($M390=1,G390,"")</f>
        <v/>
      </c>
    </row>
    <row r="391" spans="2:22" x14ac:dyDescent="0.3">
      <c r="B391">
        <v>79</v>
      </c>
      <c r="C391" t="s">
        <v>62</v>
      </c>
      <c r="D391">
        <v>5</v>
      </c>
      <c r="E391">
        <v>0</v>
      </c>
      <c r="F391">
        <v>5</v>
      </c>
      <c r="G391" s="5">
        <v>16575</v>
      </c>
      <c r="H391">
        <v>75</v>
      </c>
      <c r="I391" t="s">
        <v>68</v>
      </c>
      <c r="J391" s="5">
        <v>5435</v>
      </c>
      <c r="K391">
        <v>75</v>
      </c>
      <c r="L391">
        <f>'KRWSIP_Program_Baseline Data'!H392</f>
        <v>8.3000000000000007</v>
      </c>
      <c r="M391">
        <v>0</v>
      </c>
      <c r="P391" s="6"/>
      <c r="V391" t="str">
        <f>IF($M391=1,G391,"")</f>
        <v/>
      </c>
    </row>
    <row r="392" spans="2:22" x14ac:dyDescent="0.3">
      <c r="B392">
        <v>45</v>
      </c>
      <c r="C392" t="s">
        <v>65</v>
      </c>
      <c r="D392">
        <v>4</v>
      </c>
      <c r="E392">
        <v>0</v>
      </c>
      <c r="F392">
        <v>4</v>
      </c>
      <c r="G392" s="5">
        <v>28836</v>
      </c>
      <c r="H392">
        <v>17</v>
      </c>
      <c r="I392" t="s">
        <v>67</v>
      </c>
      <c r="J392" s="5">
        <v>4442</v>
      </c>
      <c r="K392">
        <v>17</v>
      </c>
      <c r="L392">
        <f>'KRWSIP_Program_Baseline Data'!H393</f>
        <v>14.2</v>
      </c>
      <c r="M392">
        <v>0</v>
      </c>
      <c r="P392" s="6"/>
      <c r="V392" t="str">
        <f>IF($M392=1,G392,"")</f>
        <v/>
      </c>
    </row>
    <row r="393" spans="2:22" x14ac:dyDescent="0.3">
      <c r="B393">
        <v>52</v>
      </c>
      <c r="C393" t="s">
        <v>64</v>
      </c>
      <c r="D393">
        <v>5</v>
      </c>
      <c r="E393">
        <v>0</v>
      </c>
      <c r="F393">
        <v>5</v>
      </c>
      <c r="G393" s="5">
        <v>29029</v>
      </c>
      <c r="H393">
        <v>92</v>
      </c>
      <c r="I393" t="s">
        <v>68</v>
      </c>
      <c r="J393" s="5">
        <v>3893</v>
      </c>
      <c r="K393">
        <v>92</v>
      </c>
      <c r="L393">
        <f>'KRWSIP_Program_Baseline Data'!H394</f>
        <v>12.6</v>
      </c>
      <c r="M393">
        <v>0</v>
      </c>
      <c r="P393" s="6"/>
      <c r="V393" t="str">
        <f>IF($M393=1,G393,"")</f>
        <v/>
      </c>
    </row>
    <row r="394" spans="2:22" x14ac:dyDescent="0.3">
      <c r="B394">
        <v>175</v>
      </c>
      <c r="C394" t="s">
        <v>65</v>
      </c>
      <c r="D394">
        <v>5</v>
      </c>
      <c r="E394">
        <v>0</v>
      </c>
      <c r="F394">
        <v>5</v>
      </c>
      <c r="G394" s="5">
        <v>22527</v>
      </c>
      <c r="H394">
        <v>43</v>
      </c>
      <c r="I394" t="s">
        <v>67</v>
      </c>
      <c r="J394" s="5">
        <v>5554</v>
      </c>
      <c r="K394">
        <v>43</v>
      </c>
      <c r="L394">
        <f>'KRWSIP_Program_Baseline Data'!H395</f>
        <v>11.9</v>
      </c>
      <c r="M394">
        <v>0</v>
      </c>
      <c r="P394" s="6"/>
      <c r="V394" t="str">
        <f>IF($M394=1,G394,"")</f>
        <v/>
      </c>
    </row>
    <row r="395" spans="2:22" x14ac:dyDescent="0.3">
      <c r="B395">
        <v>234</v>
      </c>
      <c r="C395" t="s">
        <v>64</v>
      </c>
      <c r="D395">
        <v>4</v>
      </c>
      <c r="E395">
        <v>0</v>
      </c>
      <c r="F395">
        <v>4</v>
      </c>
      <c r="G395" s="5">
        <v>32959</v>
      </c>
      <c r="H395">
        <v>32</v>
      </c>
      <c r="I395" t="s">
        <v>67</v>
      </c>
      <c r="J395" s="5">
        <v>5038</v>
      </c>
      <c r="K395">
        <v>32</v>
      </c>
      <c r="L395">
        <f>'KRWSIP_Program_Baseline Data'!H396</f>
        <v>14.6</v>
      </c>
      <c r="M395">
        <v>0</v>
      </c>
      <c r="P395" s="6"/>
      <c r="V395" t="str">
        <f>IF($M395=1,G395,"")</f>
        <v/>
      </c>
    </row>
    <row r="396" spans="2:22" x14ac:dyDescent="0.3">
      <c r="B396">
        <v>240</v>
      </c>
      <c r="C396" t="s">
        <v>64</v>
      </c>
      <c r="D396">
        <v>8</v>
      </c>
      <c r="E396">
        <v>0</v>
      </c>
      <c r="F396">
        <v>8</v>
      </c>
      <c r="G396" s="5">
        <v>46512</v>
      </c>
      <c r="H396">
        <v>22</v>
      </c>
      <c r="I396" t="s">
        <v>67</v>
      </c>
      <c r="J396" s="5">
        <v>5077</v>
      </c>
      <c r="K396">
        <v>22</v>
      </c>
      <c r="L396">
        <f>'KRWSIP_Program_Baseline Data'!H397</f>
        <v>14.4</v>
      </c>
      <c r="M396">
        <v>0</v>
      </c>
      <c r="P396" s="6"/>
      <c r="V396" t="str">
        <f>IF($M396=1,G396,"")</f>
        <v/>
      </c>
    </row>
    <row r="397" spans="2:22" x14ac:dyDescent="0.3">
      <c r="B397">
        <v>214</v>
      </c>
      <c r="C397" t="s">
        <v>64</v>
      </c>
      <c r="D397">
        <v>7</v>
      </c>
      <c r="E397">
        <v>0</v>
      </c>
      <c r="F397">
        <v>7</v>
      </c>
      <c r="G397" s="5">
        <v>23056</v>
      </c>
      <c r="H397">
        <v>14</v>
      </c>
      <c r="I397" t="s">
        <v>67</v>
      </c>
      <c r="J397" s="5">
        <v>5915</v>
      </c>
      <c r="K397">
        <v>14</v>
      </c>
      <c r="L397">
        <f>'KRWSIP_Program_Baseline Data'!H398</f>
        <v>0.6</v>
      </c>
      <c r="M397">
        <v>0</v>
      </c>
      <c r="P397" s="6"/>
      <c r="V397" t="str">
        <f>IF($M397=1,G397,"")</f>
        <v/>
      </c>
    </row>
    <row r="398" spans="2:22" x14ac:dyDescent="0.3">
      <c r="B398">
        <v>10</v>
      </c>
      <c r="C398" t="s">
        <v>65</v>
      </c>
      <c r="D398">
        <v>4</v>
      </c>
      <c r="E398">
        <v>0</v>
      </c>
      <c r="F398">
        <v>4</v>
      </c>
      <c r="G398" s="5">
        <v>27507</v>
      </c>
      <c r="H398">
        <v>97</v>
      </c>
      <c r="I398" t="s">
        <v>68</v>
      </c>
      <c r="J398" s="5">
        <v>3355</v>
      </c>
      <c r="K398">
        <v>97</v>
      </c>
      <c r="L398">
        <f>'KRWSIP_Program_Baseline Data'!H399</f>
        <v>9.8000000000000007</v>
      </c>
      <c r="M398">
        <v>0</v>
      </c>
      <c r="P398" s="6"/>
      <c r="V398" t="str">
        <f>IF($M398=1,G398,"")</f>
        <v/>
      </c>
    </row>
    <row r="399" spans="2:22" x14ac:dyDescent="0.3">
      <c r="B399">
        <v>146</v>
      </c>
      <c r="C399" t="s">
        <v>62</v>
      </c>
      <c r="D399">
        <v>3</v>
      </c>
      <c r="E399">
        <v>0</v>
      </c>
      <c r="F399">
        <v>3</v>
      </c>
      <c r="G399" s="5">
        <v>18773</v>
      </c>
      <c r="H399">
        <v>31</v>
      </c>
      <c r="I399" t="s">
        <v>67</v>
      </c>
      <c r="J399" s="5">
        <v>4621</v>
      </c>
      <c r="K399">
        <v>31</v>
      </c>
      <c r="L399">
        <f>'KRWSIP_Program_Baseline Data'!H400</f>
        <v>11.2</v>
      </c>
      <c r="M399">
        <v>0</v>
      </c>
      <c r="P399" s="6"/>
      <c r="V399" t="str">
        <f>IF($M399=1,G399,"")</f>
        <v/>
      </c>
    </row>
    <row r="400" spans="2:22" x14ac:dyDescent="0.3">
      <c r="B400">
        <v>182</v>
      </c>
      <c r="C400" t="s">
        <v>64</v>
      </c>
      <c r="D400">
        <v>8</v>
      </c>
      <c r="E400">
        <v>0</v>
      </c>
      <c r="F400">
        <v>8</v>
      </c>
      <c r="G400" s="5">
        <v>23111</v>
      </c>
      <c r="H400">
        <v>106</v>
      </c>
      <c r="I400" t="s">
        <v>68</v>
      </c>
      <c r="J400" s="5">
        <v>5391</v>
      </c>
      <c r="K400">
        <v>106</v>
      </c>
      <c r="L400">
        <f>'KRWSIP_Program_Baseline Data'!H401</f>
        <v>8.8000000000000007</v>
      </c>
      <c r="M400">
        <v>0</v>
      </c>
      <c r="P400" s="6"/>
      <c r="V400" t="str">
        <f>IF($M400=1,G400,"")</f>
        <v/>
      </c>
    </row>
    <row r="401" spans="2:22" x14ac:dyDescent="0.3">
      <c r="B401">
        <v>355</v>
      </c>
      <c r="C401" t="s">
        <v>64</v>
      </c>
      <c r="D401">
        <v>8</v>
      </c>
      <c r="E401">
        <v>0</v>
      </c>
      <c r="F401">
        <v>8</v>
      </c>
      <c r="G401" s="5">
        <v>48708</v>
      </c>
      <c r="H401">
        <v>49</v>
      </c>
      <c r="I401" t="s">
        <v>68</v>
      </c>
      <c r="J401" s="5">
        <v>4920</v>
      </c>
      <c r="K401">
        <v>49</v>
      </c>
      <c r="L401">
        <f>'KRWSIP_Program_Baseline Data'!H402</f>
        <v>11.7</v>
      </c>
      <c r="M401">
        <v>0</v>
      </c>
      <c r="P401" s="6"/>
      <c r="V401" t="str">
        <f>IF($M401=1,G401,"")</f>
        <v/>
      </c>
    </row>
    <row r="402" spans="2:22" x14ac:dyDescent="0.3">
      <c r="B402">
        <v>196</v>
      </c>
      <c r="C402" t="s">
        <v>62</v>
      </c>
      <c r="D402">
        <v>3</v>
      </c>
      <c r="E402">
        <v>0</v>
      </c>
      <c r="F402">
        <v>3</v>
      </c>
      <c r="G402" s="5">
        <v>23170</v>
      </c>
      <c r="H402">
        <v>76</v>
      </c>
      <c r="I402" t="s">
        <v>67</v>
      </c>
      <c r="J402" s="5">
        <v>3406</v>
      </c>
      <c r="K402">
        <v>76</v>
      </c>
      <c r="L402">
        <f>'KRWSIP_Program_Baseline Data'!H403</f>
        <v>14.9</v>
      </c>
      <c r="M402">
        <v>0</v>
      </c>
      <c r="P402" s="6"/>
      <c r="V402" t="str">
        <f>IF($M402=1,G402,"")</f>
        <v/>
      </c>
    </row>
    <row r="403" spans="2:22" x14ac:dyDescent="0.3">
      <c r="B403">
        <v>179</v>
      </c>
      <c r="C403" t="s">
        <v>62</v>
      </c>
      <c r="D403">
        <v>2</v>
      </c>
      <c r="E403">
        <v>0</v>
      </c>
      <c r="F403">
        <v>2</v>
      </c>
      <c r="G403" s="5">
        <v>21581</v>
      </c>
      <c r="H403">
        <v>83</v>
      </c>
      <c r="I403" t="s">
        <v>69</v>
      </c>
      <c r="J403" s="5">
        <v>2304</v>
      </c>
      <c r="K403">
        <v>83</v>
      </c>
      <c r="L403">
        <f>'KRWSIP_Program_Baseline Data'!H404</f>
        <v>2.2999999999999998</v>
      </c>
      <c r="M403">
        <v>0</v>
      </c>
      <c r="P403" s="6"/>
      <c r="V403" t="str">
        <f>IF($M403=1,G403,"")</f>
        <v/>
      </c>
    </row>
    <row r="404" spans="2:22" x14ac:dyDescent="0.3">
      <c r="B404">
        <v>50</v>
      </c>
      <c r="C404" t="s">
        <v>65</v>
      </c>
      <c r="D404">
        <v>7</v>
      </c>
      <c r="E404">
        <v>0</v>
      </c>
      <c r="F404">
        <v>7</v>
      </c>
      <c r="G404" s="5">
        <v>39267</v>
      </c>
      <c r="H404">
        <v>117</v>
      </c>
      <c r="I404" t="s">
        <v>69</v>
      </c>
      <c r="J404" s="5">
        <v>5753</v>
      </c>
      <c r="K404">
        <v>117</v>
      </c>
      <c r="L404">
        <f>'KRWSIP_Program_Baseline Data'!H405</f>
        <v>8.4</v>
      </c>
      <c r="M404">
        <v>0</v>
      </c>
      <c r="P404" s="6"/>
      <c r="V404" t="str">
        <f>IF($M404=1,G404,"")</f>
        <v/>
      </c>
    </row>
    <row r="405" spans="2:22" x14ac:dyDescent="0.3">
      <c r="V405" t="str">
        <f>IF($M405=1,G405,"")</f>
        <v/>
      </c>
    </row>
  </sheetData>
  <mergeCells count="1">
    <mergeCell ref="B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A5751-E954-4834-90CE-90F47EE4F41A}">
  <dimension ref="B1:L10"/>
  <sheetViews>
    <sheetView workbookViewId="0">
      <selection activeCell="G29" sqref="G29"/>
    </sheetView>
  </sheetViews>
  <sheetFormatPr defaultRowHeight="14.4" x14ac:dyDescent="0.3"/>
  <cols>
    <col min="2" max="2" width="9.5546875" bestFit="1" customWidth="1"/>
    <col min="3" max="3" width="24.21875" bestFit="1" customWidth="1"/>
    <col min="4" max="4" width="13.77734375" bestFit="1" customWidth="1"/>
    <col min="5" max="5" width="25.88671875" bestFit="1" customWidth="1"/>
    <col min="6" max="6" width="23.33203125" bestFit="1" customWidth="1"/>
    <col min="7" max="7" width="28.109375" bestFit="1" customWidth="1"/>
    <col min="8" max="8" width="26.6640625" bestFit="1" customWidth="1"/>
    <col min="10" max="10" width="9.5546875" bestFit="1" customWidth="1"/>
  </cols>
  <sheetData>
    <row r="1" spans="2:12" x14ac:dyDescent="0.3">
      <c r="C1" t="s">
        <v>98</v>
      </c>
      <c r="G1" t="s">
        <v>24</v>
      </c>
      <c r="K1" t="s">
        <v>99</v>
      </c>
    </row>
    <row r="2" spans="2:12" x14ac:dyDescent="0.3">
      <c r="C2" s="2" t="s">
        <v>96</v>
      </c>
      <c r="D2" s="2" t="s">
        <v>97</v>
      </c>
      <c r="E2" s="2"/>
      <c r="F2" s="2"/>
      <c r="G2" s="2" t="s">
        <v>96</v>
      </c>
      <c r="H2" s="2" t="s">
        <v>97</v>
      </c>
      <c r="I2" s="2"/>
      <c r="J2" s="2"/>
      <c r="K2" s="2" t="s">
        <v>96</v>
      </c>
      <c r="L2" s="2" t="s">
        <v>97</v>
      </c>
    </row>
    <row r="3" spans="2:12" x14ac:dyDescent="0.3">
      <c r="B3" s="2" t="s">
        <v>27</v>
      </c>
      <c r="C3" s="6">
        <f>'KRWSIP_Program_Baseline Data'!O6</f>
        <v>28408.134999999998</v>
      </c>
      <c r="D3" s="6">
        <f>KRWSIP_Program_Endline_Data!R5</f>
        <v>31262.7</v>
      </c>
      <c r="F3" s="2" t="s">
        <v>27</v>
      </c>
      <c r="G3" s="6">
        <f>'KRWSIP_Program_Baseline Data'!O7</f>
        <v>4730.1608040201008</v>
      </c>
      <c r="H3" s="6">
        <f>KRWSIP_Program_Endline_Data!R6</f>
        <v>3305.7437185929648</v>
      </c>
      <c r="J3" t="s">
        <v>27</v>
      </c>
      <c r="K3">
        <f>'KRWSIP_Program_Baseline Data'!O8</f>
        <v>68.45</v>
      </c>
      <c r="L3">
        <f>KRWSIP_Program_Endline_Data!R7</f>
        <v>29.324999999999999</v>
      </c>
    </row>
    <row r="4" spans="2:12" x14ac:dyDescent="0.3">
      <c r="B4" s="2" t="s">
        <v>30</v>
      </c>
      <c r="C4" s="6">
        <f>'KRWSIP_Program_Baseline Data'!P6</f>
        <v>27962.044999999998</v>
      </c>
      <c r="D4" s="6">
        <f>KRWSIP_Program_Endline_Data!S5</f>
        <v>28922.775000000001</v>
      </c>
      <c r="F4" s="2" t="s">
        <v>30</v>
      </c>
      <c r="G4" s="6">
        <f>'KRWSIP_Program_Baseline Data'!P7</f>
        <v>4827.0649999999996</v>
      </c>
      <c r="H4" s="6">
        <f>KRWSIP_Program_Endline_Data!S6</f>
        <v>4660.2950000000001</v>
      </c>
      <c r="J4" t="s">
        <v>30</v>
      </c>
      <c r="K4">
        <f>'KRWSIP_Program_Baseline Data'!P8</f>
        <v>67.855000000000004</v>
      </c>
      <c r="L4">
        <f>KRWSIP_Program_Endline_Data!S7</f>
        <v>64.36</v>
      </c>
    </row>
    <row r="5" spans="2:12" x14ac:dyDescent="0.3">
      <c r="B5" s="2"/>
    </row>
    <row r="8" spans="2:12" x14ac:dyDescent="0.3">
      <c r="B8" s="2" t="s">
        <v>100</v>
      </c>
      <c r="C8" s="2" t="s">
        <v>101</v>
      </c>
      <c r="D8" s="2" t="s">
        <v>32</v>
      </c>
      <c r="E8" s="2" t="s">
        <v>102</v>
      </c>
      <c r="F8" s="2" t="s">
        <v>103</v>
      </c>
      <c r="G8" s="2" t="s">
        <v>104</v>
      </c>
      <c r="H8" s="2" t="s">
        <v>105</v>
      </c>
    </row>
    <row r="9" spans="2:12" x14ac:dyDescent="0.3">
      <c r="B9" t="s">
        <v>96</v>
      </c>
      <c r="C9" s="6">
        <f>C3</f>
        <v>28408.134999999998</v>
      </c>
      <c r="D9" s="6">
        <f>C4</f>
        <v>27962.044999999998</v>
      </c>
      <c r="E9" s="6">
        <f>G3</f>
        <v>4730.1608040201008</v>
      </c>
      <c r="F9" s="6">
        <f>H3</f>
        <v>3305.7437185929648</v>
      </c>
      <c r="G9">
        <f>'KRWSIP_Program_Baseline Data'!O8</f>
        <v>68.45</v>
      </c>
      <c r="H9">
        <f>'KRWSIP_Program_Baseline Data'!P8</f>
        <v>67.855000000000004</v>
      </c>
    </row>
    <row r="10" spans="2:12" x14ac:dyDescent="0.3">
      <c r="B10" t="s">
        <v>97</v>
      </c>
      <c r="C10" s="6">
        <f>D3</f>
        <v>31262.7</v>
      </c>
      <c r="D10" s="6">
        <f>D4</f>
        <v>28922.775000000001</v>
      </c>
      <c r="E10" s="6">
        <f>H3</f>
        <v>3305.7437185929648</v>
      </c>
      <c r="F10" s="6">
        <f>H4</f>
        <v>4660.2950000000001</v>
      </c>
      <c r="G10">
        <f>KRWSIP_Program_Endline_Data!R7</f>
        <v>29.324999999999999</v>
      </c>
      <c r="H10">
        <f>KRWSIP_Program_Endline_Data!S7</f>
        <v>64.36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77C14-01E0-445D-88D3-AEADA7F381F4}">
  <dimension ref="A1:S21"/>
  <sheetViews>
    <sheetView tabSelected="1" workbookViewId="0">
      <selection activeCell="K3" sqref="K3"/>
    </sheetView>
  </sheetViews>
  <sheetFormatPr defaultRowHeight="14.4" x14ac:dyDescent="0.3"/>
  <cols>
    <col min="1" max="1" width="17.44140625" bestFit="1" customWidth="1"/>
    <col min="2" max="2" width="12" bestFit="1" customWidth="1"/>
    <col min="3" max="3" width="13.44140625" bestFit="1" customWidth="1"/>
    <col min="4" max="4" width="12.6640625" bestFit="1" customWidth="1"/>
    <col min="5" max="5" width="13.33203125" bestFit="1" customWidth="1"/>
    <col min="6" max="6" width="12.6640625" bestFit="1" customWidth="1"/>
    <col min="11" max="11" width="24.109375" bestFit="1" customWidth="1"/>
    <col min="12" max="12" width="12.6640625" bestFit="1" customWidth="1"/>
    <col min="13" max="13" width="14.109375" bestFit="1" customWidth="1"/>
    <col min="14" max="14" width="12.6640625" bestFit="1" customWidth="1"/>
    <col min="15" max="15" width="12" bestFit="1" customWidth="1"/>
    <col min="16" max="19" width="12.6640625" bestFit="1" customWidth="1"/>
  </cols>
  <sheetData>
    <row r="1" spans="1:19" x14ac:dyDescent="0.3">
      <c r="A1" s="2" t="s">
        <v>108</v>
      </c>
      <c r="K1" s="2" t="s">
        <v>109</v>
      </c>
    </row>
    <row r="2" spans="1:19" ht="15" thickBot="1" x14ac:dyDescent="0.35">
      <c r="A2" s="2" t="s">
        <v>75</v>
      </c>
      <c r="K2" s="2" t="s">
        <v>75</v>
      </c>
    </row>
    <row r="3" spans="1:19" x14ac:dyDescent="0.3">
      <c r="A3" s="21" t="s">
        <v>76</v>
      </c>
      <c r="B3" s="19"/>
      <c r="K3" s="20" t="s">
        <v>76</v>
      </c>
      <c r="L3" s="19"/>
    </row>
    <row r="4" spans="1:19" x14ac:dyDescent="0.3">
      <c r="A4" s="9" t="s">
        <v>77</v>
      </c>
      <c r="B4" s="9">
        <v>0.60614513799123926</v>
      </c>
      <c r="K4" s="9" t="s">
        <v>77</v>
      </c>
      <c r="L4" s="9">
        <v>0.82402453257322439</v>
      </c>
    </row>
    <row r="5" spans="1:19" x14ac:dyDescent="0.3">
      <c r="A5" s="9" t="s">
        <v>78</v>
      </c>
      <c r="B5" s="9">
        <v>0.36741192831041847</v>
      </c>
      <c r="K5" s="9" t="s">
        <v>78</v>
      </c>
      <c r="L5" s="9">
        <v>0.67901643028252101</v>
      </c>
    </row>
    <row r="6" spans="1:19" x14ac:dyDescent="0.3">
      <c r="A6" s="9" t="s">
        <v>79</v>
      </c>
      <c r="B6" s="9">
        <v>0.36582251104486674</v>
      </c>
      <c r="K6" s="9" t="s">
        <v>79</v>
      </c>
      <c r="L6" s="9">
        <v>0.67576596375373643</v>
      </c>
    </row>
    <row r="7" spans="1:19" x14ac:dyDescent="0.3">
      <c r="A7" s="9" t="s">
        <v>80</v>
      </c>
      <c r="B7" s="9">
        <v>891.0685465486041</v>
      </c>
      <c r="K7" s="9" t="s">
        <v>80</v>
      </c>
      <c r="L7" s="9">
        <v>637.14019524483695</v>
      </c>
    </row>
    <row r="8" spans="1:19" ht="15" thickBot="1" x14ac:dyDescent="0.35">
      <c r="A8" s="10" t="s">
        <v>42</v>
      </c>
      <c r="B8" s="10">
        <v>400</v>
      </c>
      <c r="K8" s="10" t="s">
        <v>42</v>
      </c>
      <c r="L8" s="10">
        <v>400</v>
      </c>
    </row>
    <row r="10" spans="1:19" ht="15" thickBot="1" x14ac:dyDescent="0.35">
      <c r="A10" t="s">
        <v>81</v>
      </c>
      <c r="K10" t="s">
        <v>81</v>
      </c>
    </row>
    <row r="11" spans="1:19" x14ac:dyDescent="0.3">
      <c r="A11" s="11"/>
      <c r="B11" s="12" t="s">
        <v>45</v>
      </c>
      <c r="C11" s="12" t="s">
        <v>86</v>
      </c>
      <c r="D11" s="12" t="s">
        <v>87</v>
      </c>
      <c r="E11" s="12" t="s">
        <v>88</v>
      </c>
      <c r="F11" s="12" t="s">
        <v>89</v>
      </c>
      <c r="K11" s="11"/>
      <c r="L11" s="11" t="s">
        <v>45</v>
      </c>
      <c r="M11" s="11" t="s">
        <v>86</v>
      </c>
      <c r="N11" s="11" t="s">
        <v>87</v>
      </c>
      <c r="O11" s="11" t="s">
        <v>88</v>
      </c>
      <c r="P11" s="11" t="s">
        <v>89</v>
      </c>
    </row>
    <row r="12" spans="1:19" x14ac:dyDescent="0.3">
      <c r="A12" s="9" t="s">
        <v>82</v>
      </c>
      <c r="B12" s="9">
        <v>1</v>
      </c>
      <c r="C12" s="9">
        <v>183542884.84000021</v>
      </c>
      <c r="D12" s="9">
        <v>183542884.84000021</v>
      </c>
      <c r="E12" s="9">
        <v>231.16140504670048</v>
      </c>
      <c r="F12" s="9">
        <v>1.7393141241795571E-41</v>
      </c>
      <c r="K12" s="9" t="s">
        <v>82</v>
      </c>
      <c r="L12" s="9">
        <v>4</v>
      </c>
      <c r="M12" s="9">
        <v>339206827.1733321</v>
      </c>
      <c r="N12" s="9">
        <v>84801706.793333024</v>
      </c>
      <c r="O12" s="9">
        <v>208.89814562601157</v>
      </c>
      <c r="P12" s="9">
        <v>4.5817072076871731E-96</v>
      </c>
    </row>
    <row r="13" spans="1:19" x14ac:dyDescent="0.3">
      <c r="A13" s="9" t="s">
        <v>83</v>
      </c>
      <c r="B13" s="9">
        <v>398</v>
      </c>
      <c r="C13" s="9">
        <v>316013255.55000031</v>
      </c>
      <c r="D13" s="9">
        <v>794003.15464824194</v>
      </c>
      <c r="E13" s="9"/>
      <c r="F13" s="9"/>
      <c r="K13" s="9" t="s">
        <v>83</v>
      </c>
      <c r="L13" s="9">
        <v>395</v>
      </c>
      <c r="M13" s="9">
        <v>160349313.21666843</v>
      </c>
      <c r="N13" s="9">
        <v>405947.62839662895</v>
      </c>
      <c r="O13" s="9"/>
      <c r="P13" s="9"/>
    </row>
    <row r="14" spans="1:19" ht="15" thickBot="1" x14ac:dyDescent="0.35">
      <c r="A14" s="10" t="s">
        <v>84</v>
      </c>
      <c r="B14" s="10">
        <v>399</v>
      </c>
      <c r="C14" s="10">
        <v>499556140.39000052</v>
      </c>
      <c r="D14" s="10"/>
      <c r="E14" s="10"/>
      <c r="F14" s="10"/>
      <c r="K14" s="10" t="s">
        <v>84</v>
      </c>
      <c r="L14" s="10">
        <v>399</v>
      </c>
      <c r="M14" s="10">
        <v>499556140.39000052</v>
      </c>
      <c r="N14" s="10"/>
      <c r="O14" s="10"/>
      <c r="P14" s="10"/>
    </row>
    <row r="15" spans="1:19" ht="15" thickBot="1" x14ac:dyDescent="0.35"/>
    <row r="16" spans="1:19" x14ac:dyDescent="0.3">
      <c r="A16" s="11"/>
      <c r="B16" s="12" t="s">
        <v>90</v>
      </c>
      <c r="C16" s="12" t="s">
        <v>80</v>
      </c>
      <c r="D16" s="12" t="s">
        <v>46</v>
      </c>
      <c r="E16" s="12" t="s">
        <v>91</v>
      </c>
      <c r="F16" s="12" t="s">
        <v>92</v>
      </c>
      <c r="G16" s="12" t="s">
        <v>93</v>
      </c>
      <c r="H16" s="12" t="s">
        <v>94</v>
      </c>
      <c r="I16" s="12" t="s">
        <v>95</v>
      </c>
      <c r="K16" s="12"/>
      <c r="L16" s="12" t="s">
        <v>90</v>
      </c>
      <c r="M16" s="12" t="s">
        <v>80</v>
      </c>
      <c r="N16" s="12" t="s">
        <v>46</v>
      </c>
      <c r="O16" s="12" t="s">
        <v>91</v>
      </c>
      <c r="P16" s="12" t="s">
        <v>92</v>
      </c>
      <c r="Q16" s="12" t="s">
        <v>93</v>
      </c>
      <c r="R16" s="12" t="s">
        <v>94</v>
      </c>
      <c r="S16" s="12" t="s">
        <v>95</v>
      </c>
    </row>
    <row r="17" spans="1:19" x14ac:dyDescent="0.3">
      <c r="A17" s="9" t="s">
        <v>85</v>
      </c>
      <c r="B17" s="9">
        <v>4660.2950000000037</v>
      </c>
      <c r="C17" s="9">
        <v>63.008061176655971</v>
      </c>
      <c r="D17" s="9">
        <v>73.963472498128681</v>
      </c>
      <c r="E17" s="9">
        <v>1.1358743684248514E-234</v>
      </c>
      <c r="F17" s="9">
        <v>4536.4247857811306</v>
      </c>
      <c r="G17" s="9">
        <v>4784.1652142188768</v>
      </c>
      <c r="H17" s="9">
        <v>4536.4247857811306</v>
      </c>
      <c r="I17" s="9">
        <v>4784.1652142188768</v>
      </c>
      <c r="K17" s="9" t="s">
        <v>85</v>
      </c>
      <c r="L17" s="9">
        <v>3029.1997311279752</v>
      </c>
      <c r="M17" s="9">
        <v>175.88648311688135</v>
      </c>
      <c r="N17" s="9">
        <v>17.222470297021001</v>
      </c>
      <c r="O17" s="9">
        <v>5.5036755247224218E-50</v>
      </c>
      <c r="P17" s="9">
        <v>2683.4090395149365</v>
      </c>
      <c r="Q17" s="9">
        <v>3374.9904227410138</v>
      </c>
      <c r="R17" s="9">
        <v>2683.4090395149365</v>
      </c>
      <c r="S17" s="9">
        <v>3374.9904227410138</v>
      </c>
    </row>
    <row r="18" spans="1:19" ht="15" thickBot="1" x14ac:dyDescent="0.35">
      <c r="A18" s="10" t="s">
        <v>27</v>
      </c>
      <c r="B18" s="10">
        <v>-1354.7800000000075</v>
      </c>
      <c r="C18" s="10">
        <v>89.106854654860683</v>
      </c>
      <c r="D18" s="10">
        <v>-15.203993062570811</v>
      </c>
      <c r="E18" s="23">
        <v>1.7393141241791344E-41</v>
      </c>
      <c r="F18" s="10">
        <v>-1529.9589369223988</v>
      </c>
      <c r="G18" s="10">
        <v>-1179.6010630776161</v>
      </c>
      <c r="H18" s="10">
        <v>-1529.9589369223988</v>
      </c>
      <c r="I18" s="10">
        <v>-1179.6010630776161</v>
      </c>
      <c r="K18" s="9" t="s">
        <v>27</v>
      </c>
      <c r="L18" s="9">
        <v>-1328.8114391301826</v>
      </c>
      <c r="M18" s="9">
        <v>79.848726945196134</v>
      </c>
      <c r="N18" s="9">
        <v>-16.641610830467055</v>
      </c>
      <c r="O18" s="9">
        <v>1.6750767775955603E-47</v>
      </c>
      <c r="P18" s="9">
        <v>-1485.7930674253589</v>
      </c>
      <c r="Q18" s="9">
        <v>-1171.8298108350064</v>
      </c>
      <c r="R18" s="9">
        <v>-1485.7930674253589</v>
      </c>
      <c r="S18" s="9">
        <v>-1171.8298108350064</v>
      </c>
    </row>
    <row r="19" spans="1:19" x14ac:dyDescent="0.3">
      <c r="K19" s="9" t="s">
        <v>18</v>
      </c>
      <c r="L19" s="9">
        <v>300.55777915447027</v>
      </c>
      <c r="M19" s="9">
        <v>15.391190764990242</v>
      </c>
      <c r="N19" s="9">
        <v>19.527909421936194</v>
      </c>
      <c r="O19" s="9">
        <v>6.3002487218972325E-60</v>
      </c>
      <c r="P19" s="9">
        <v>270.29888486617244</v>
      </c>
      <c r="Q19" s="9">
        <v>330.81667344276809</v>
      </c>
      <c r="R19" s="9">
        <v>270.29888486617244</v>
      </c>
      <c r="S19" s="9">
        <v>330.81667344276809</v>
      </c>
    </row>
    <row r="20" spans="1:19" x14ac:dyDescent="0.3">
      <c r="K20" s="9" t="s">
        <v>106</v>
      </c>
      <c r="L20" s="9">
        <v>4.3867202676202352E-3</v>
      </c>
      <c r="M20" s="9">
        <v>4.0938343714625406E-3</v>
      </c>
      <c r="N20" s="9">
        <v>1.0715431718975625</v>
      </c>
      <c r="O20" s="9">
        <v>0.28457953268173819</v>
      </c>
      <c r="P20" s="9">
        <v>-3.6617084323643505E-3</v>
      </c>
      <c r="Q20" s="9">
        <v>1.2435148967604821E-2</v>
      </c>
      <c r="R20" s="9">
        <v>-3.6617084323643505E-3</v>
      </c>
      <c r="S20" s="9">
        <v>1.2435148967604821E-2</v>
      </c>
    </row>
    <row r="21" spans="1:19" ht="15" thickBot="1" x14ac:dyDescent="0.35">
      <c r="K21" s="10" t="s">
        <v>107</v>
      </c>
      <c r="L21" s="10">
        <v>-0.98181592148627006</v>
      </c>
      <c r="M21" s="10">
        <v>1.3690885840462361</v>
      </c>
      <c r="N21" s="10">
        <v>-0.71713104099121805</v>
      </c>
      <c r="O21" s="10">
        <v>0.47371708263886414</v>
      </c>
      <c r="P21" s="10">
        <v>-3.6734274652924244</v>
      </c>
      <c r="Q21" s="10">
        <v>1.7097956223198842</v>
      </c>
      <c r="R21" s="10">
        <v>-3.6734274652924244</v>
      </c>
      <c r="S21" s="10">
        <v>1.7097956223198842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HISP</vt:lpstr>
      <vt:lpstr>KRWSIP_Program_Baseline Data</vt:lpstr>
      <vt:lpstr>Baseline_Characteristics_t-test</vt:lpstr>
      <vt:lpstr>Endline_Data_charecteristics</vt:lpstr>
      <vt:lpstr>KRWSIP_Program_Endline_Data</vt:lpstr>
      <vt:lpstr>Graphs </vt:lpstr>
      <vt:lpstr>OLS_Regression Analysis</vt:lpstr>
      <vt:lpstr>Endline_Data_charecteristics!Print_Area</vt:lpstr>
      <vt:lpstr>'OLS_Regression Analysis'!Print_Area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Meshack Otieno</dc:creator>
  <cp:lastModifiedBy>Meshack Otieno</cp:lastModifiedBy>
  <cp:lastPrinted>2026-07-15T19:01:19Z</cp:lastPrinted>
  <dcterms:created xsi:type="dcterms:W3CDTF">2015-06-05T18:17:20Z</dcterms:created>
  <dcterms:modified xsi:type="dcterms:W3CDTF">2026-07-17T05:23:06Z</dcterms:modified>
</cp:coreProperties>
</file>